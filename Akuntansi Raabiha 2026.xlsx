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_INSPEKSI_JSON" sheetId="2" r:id="rId6"/>
    <sheet state="visible" name="COA" sheetId="3" r:id="rId7"/>
    <sheet state="visible" name="INPUT Penjualan" sheetId="4" r:id="rId8"/>
    <sheet state="visible" name="INPUT Pembelian &amp; Produksi" sheetId="5" r:id="rId9"/>
    <sheet state="visible" name="INPUT Beban &amp; Kas Keluar" sheetId="6" r:id="rId10"/>
    <sheet state="visible" name="INPUT Jurnal Penyesuaian" sheetId="7" r:id="rId11"/>
    <sheet state="visible" name="Buku Besar" sheetId="8" r:id="rId12"/>
    <sheet state="visible" name="Laba Rugi" sheetId="9" r:id="rId13"/>
    <sheet state="visible" name="Posisi Keuangan" sheetId="10" r:id="rId14"/>
    <sheet state="visible" name="Arus Kas" sheetId="11" r:id="rId15"/>
    <sheet state="visible" name="Perubahan Ekuitas" sheetId="12" r:id="rId16"/>
    <sheet state="visible" name="Kalkulator Pajak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tc={49d4022d-d8ed-4502-ad28-039a8a3e83e4}</author>
  </authors>
  <commentList>
    <comment authorId="0" xr:uid="{49d4022d-d8ed-4502-ad28-039a8a3e83e4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Cek fix, rumus buku besar benar atau tidak
</t>
      </text>
    </comment>
  </commentList>
</comments>
</file>

<file path=xl/sharedStrings.xml><?xml version="1.0" encoding="utf-8"?>
<sst xmlns="http://schemas.openxmlformats.org/spreadsheetml/2006/main" count="1633" uniqueCount="380">
  <si>
    <t>DASHBOARD AKUNTANSI RAABIHA</t>
  </si>
  <si>
    <t>INPUT — JURNAL PENJUALAN</t>
  </si>
  <si>
    <t>DAFTAR AKUN (CHART OF ACCOUNTS)</t>
  </si>
  <si>
    <t>SALIN TEKS DI SEL A2 (DAN A3 JIKA ADA) UNTUK DIANALISIS:</t>
  </si>
  <si>
    <t>Kode akun ini digunakan di seluruh sheet INPUT. Jangan ubah kode akun yang sudah dipakai di jurnal.</t>
  </si>
  <si>
    <t>POS Toko &amp; Web Raabiha: akan otomatis terisi dari sistem web. Marketplace (Shopee/Lazada/Tokopedia/TikTok): isi manual per rekap settlement dari dashboard marketplace. 1 baris = 1 transaksi atau 1 rekap harian per channel.</t>
  </si>
  <si>
    <t>kode_akun</t>
  </si>
  <si>
    <t>tanggal</t>
  </si>
  <si>
    <t>nama_akun</t>
  </si>
  <si>
    <t>no_referensi</t>
  </si>
  <si>
    <t>kategori</t>
  </si>
  <si>
    <t>channel</t>
  </si>
  <si>
    <t>sub_kategori</t>
  </si>
  <si>
    <t>kode_akun_kas</t>
  </si>
  <si>
    <t>normal_balance</t>
  </si>
  <si>
    <t>nama_akun_kas</t>
  </si>
  <si>
    <t>laporan</t>
  </si>
  <si>
    <t>saldo_awal</t>
  </si>
  <si>
    <t>kode_akun_penjualan</t>
  </si>
  <si>
    <t>nama_akun_penjualan</t>
  </si>
  <si>
    <t>saldo_akhir</t>
  </si>
  <si>
    <t>gross_sales</t>
  </si>
  <si>
    <t>diskon</t>
  </si>
  <si>
    <t>1-101</t>
  </si>
  <si>
    <t>biaya_marketplace</t>
  </si>
  <si>
    <t>net_sales</t>
  </si>
  <si>
    <t>Kas Toko (POS)</t>
  </si>
  <si>
    <t>keterangan</t>
  </si>
  <si>
    <t>Aset</t>
  </si>
  <si>
    <t>Aset Lancar</t>
  </si>
  <si>
    <t>DB</t>
  </si>
  <si>
    <t>Neraca</t>
  </si>
  <si>
    <t>TOTAL PENJUALAN (GROSS)</t>
  </si>
  <si>
    <t>POS-01</t>
  </si>
  <si>
    <t>DISKON &amp; BIAYA MARKETPLACE</t>
  </si>
  <si>
    <t>POS Toko</t>
  </si>
  <si>
    <t>NET REVENUE</t>
  </si>
  <si>
    <t>TOTAL BEBAN OPERASIONAL</t>
  </si>
  <si>
    <t>{
  "time": "2026-08-14T03:23:37.319Z",
  "saldoAwalCOA": [
    {
      "kode": "1-102",
      "nama": "Kas Bank BCA",
      "saldoAwal": "115.089.124"
    }
  ],
  "penjualan": [
    {
      "tgl": "13/08/2026",
      "ref": "POS-20260101",
      "channel": "POS Toko",
      "kasAcc": "1-101",
      "jualAcc": "4-101",
      "gross": "",
      "diskon": "0",
      "biaya": "0",
      "net": ""
    },
    {
      "tgl": "13/08/2026",
      "ref": "WEB-20260101",
      "channel": "Web Raabiha",
      "kasAcc": "1-205",
      "jualAcc": "4-102",
      "gross": "1.000.000",
      "diskon": "0",
      "biaya": "150.000",
      "net": "850.000"
    },
    {
      "tgl": "07/08/2026",
      "ref": "SPE-JUN-W1",
      "channel": "Shopee",
      "kasAcc": "1-201",
      "jualAcc": "4-103",
      "gross": "",
      "diskon": "",
      "biaya": "0",
      "net": ""
    },
    {
      "tgl": "07/08/2026",
      "ref": "LZD-JUN-W1",
      "channel": "Lazada",
      "kasAcc": "1-202",
      "jualAcc": "4-104",
      "gross": "",
      "diskon": "",
      "biaya": "0",
      "net": ""
    },
    {
      "tgl": "07/08/2026",
      "ref": "TKP-JUN-W1",
      "channel": "Tokopedia",
      "kasAcc": "1-203",
      "jualAcc": "4-105",
      "gross": "",
      "diskon": "",
      "biaya": "0",
      "net": ""
    },
    {
      "tgl": "07/08/2026",
      "ref": "TTK-JUN-W1",
      "channel": "TikTok Shop",
      "kasAcc": "1-204",
      "jualAcc": "4-106",
      "gross": "",
      "diskon": "",
      "biaya": "0",
      "net": ""
    },
    {
      "tgl": "01/08/2026",
      "ref": "SPE-01082026",
      "channel": "Shopee",
      "kasAcc": "1-201",
      "jualAcc": "4-103",
      "gross": "9.692.205",
      "diskon": "",
      "biaya": "1.453.831",
      "net": "8.238.374"
    },
    {
      "tgl": "01/08/2026",
      "ref": "TTK-01082026",
      "channel": "TikTok Shop",
      "kasAcc": "1-204",
      "jualAcc": "4-106",
      "gross": "4942060",
      "diskon": "",
      "biaya": "741.309",
      "net": "4.200.751"
    },
    {
      "tgl": "02/08/2026",
      "ref": "SPE-02082026",
      "channel": "Shopee",
      "kasAcc": "1-201",
      "jualAcc": "4-103",
      "gross": "11.421.525",
      "diskon": "",
      "biaya": "1.713.229",
      "net": "9.708.296"
    },
    {
      "tgl": "02/08/2026",
      "ref": "TTK-02082026",
      "channel": "TikTok Shop",
      "kasAcc": "1-204",
      "jualAcc": "4-106",
      "gross": "3.816.104",
      "diskon": "",
      "biaya": "572.416",
      "net": "3.243.688"
    },
    {
      "tgl": "03/08/2026",
      "ref": "SPE-03082026",
      "channel": "Shopee",
      "kasAcc": "1-201",
      "jualAcc": "4-103",
      "gross": "11.678.090",
      "diskon": "",
      "biaya": "1.751.714",
      "net": "9.926.377"
    },
    {
      "tgl": "03/08/2026",
      "ref": "TTK-03082026",
      "channel": "TikTok Shop",
      "kasAcc": "1-204",
      "jualAcc": "4-106",
      "gross": "6.840.788",
      "diskon": "",
      "biaya": "1.026.118",
      "net": "5.814.670"
    },
    {
      "tgl": "04/08/2026",
      "ref": "SPE-04082026",
      "channel": "Shopee",
      "kasAcc": "1-201",
      "jualAcc": "4-103",
      "gross": "15.213.475",
      "diskon": "",
      "biaya": "2.282.021",
      "net": "12.931.454"
    },
    {
      "tgl": "04/08/2026",
      "ref": "TTK-04082026",
      "channel": "TikTok Shop",
      "kasAcc": "1-204",
      "jualAcc": "4-106",
      "gross": "11.569.865",
      "diskon": "",
      "biaya": "1.735.480",
      "net": "9.834.385"
    },
    {
      "tgl": "05/08/2026",
      "ref": "SPE-05082026",
      "channel": "Shopee",
      "kasAcc": "1-201",
      "jualAcc": "4-103",
      "gross": "12.284.514",
      "diskon": "",
      "biaya": "1.842.677",
      "net": "10.441.837"
    },
    {
      "tgl": "05/08/2026",
      "ref": "TTK-05082026",
      "channel": "TikTok Shop",
      "kasAcc": "1-204",
      "jualAcc": "4-106",
      "gross": "10.988.197",
      "diskon": "",
      "biaya": "1.648.230",
      "net": "9.339.967"
    },
    {
      "tgl": "06/08/2026",
      "ref": "SPE-06082026",
      "channel": "Shopee",
      "kasAcc": "1-201",
      "jualAcc": "4-103",
      "gross": "12.241.579",
      "diskon": "",
      "biaya": "1.836.237",
      "net": "10.405.342"
    },
    {
      "tgl": "06/08/2026",
      "ref": "TTK-06082026",
      "channel": "TikTok Shop",
      "kasAcc": "1-204",
      "jualAcc": "4-106",
      "gross": "9.354.001",
      "diskon": "",
      "biaya": "1.403.100",
      "net": "7.950.901"
    },
    {
      "tgl": "01/08/2026",
      "ref": "POS-01082026",
      "channel": "POS Toko",
      "kasAcc": "1-101",
      "jualAcc": "4-101",
      "gross": "812.000",
      "diskon": "",
      "biaya": "121.800",
      "net": "690.200"
    },
    {
      "tgl": "02/08/2026",
      "ref": "POS-02082026",
      "channel": "POS Toko",
      "kasAcc": "1-101",
      "jualAcc": "4-101",
      "gross": "390.000",
      "diskon": "",
      "biaya": "58.500",
      "net": "331.500"
    },
    {
      "tgl": "03/08/2026",
      "ref": "POS-03082026",
      "channel": "POS Toko",
      "kasAcc": "1-101",
      "jualAcc": "4-101",
      "gross": "350.000",
      "diskon": "",
      "biaya": "52.500",
      "net": "297.500"
    },
    {
      "tgl": "04/08/2026",
      "ref": "POS-04082026",
      "channel": "POS Toko",
      "kasAcc": "1-101",
      "jualAcc": "4-101",
      "gross": "350.000",
      "diskon": "",
      "biaya": "52.500",
      "net": "297.500"
    },
    {
      "tgl": "06/08/2026",
      "ref": "POS-06082026",
      "channel": "POS Toko",
      "kasAcc": "1-101",
      "jualAcc": "4-101",
      "gross": "485.000",
      "diskon": "",
      "biaya": "72.750",
      "net": "412.250"
    },
    {
      "tgl": "07/08/2026",
      "ref": "SPE-07082026",
      "channel": "Shopee",
      "kasAcc": "1-201",
      "jualAcc": "4-103",
      "gross": "9.814.236",
      "diskon": "",
      "biaya": "1.472.135",
      "net": "8.342.101"
    },
    {
      "tgl": "07/08/2026",
      "ref": "TTK-07082026",
      "channel": "TikTok Shop",
      "kasAcc": "1-204",
      "jualAcc": "4-106",
      "gross": "5.915.740",
      "diskon": "",
      "biaya": "887.361",
      "net": "5.028.379"
    },
    {
      "tgl": "08/08/2026",
      "ref": "SPE-08082026",
      "channel": "Shopee",
      "kasAcc": "1-201",
      "jualAcc": "4-103",
      "gross": "26.011.864",
      "diskon": "",
      "biaya": "3.901.780",
      "net": "22.110.084"
    },
    {
      "tgl": "08/08/2026",
      "ref": "TTK-08082026",
      "channel": "TikTok Shop",
      "kasAcc": "1-204",
      "jualAcc": "4-106",
      "gross": "8.757.979",
      "diskon": "",
      "biaya": "1.313.697",
      "net": "7.444.282"
    },
    {
      "tgl": "09/08/2026",
      "ref": "SPE-09082026",
      "channel": "Shopee",
      "kasAcc": "1-201",
      "jualAcc": "4-103",
      "gross": "13.672.412",
      "diskon": "",
      "biaya": "2.050.862",
      "net": "11.621.550"
    },
    {
      "tgl": "09/08/2026",
      "ref": "TTK-09082026",
      "channel": "TikTok Shop",
      "kasAcc": "1-204",
      "jualAcc": "4-106",
      "gross": "5.492.036",
      "diskon": "",
      "biaya": "823.805",
      "net": "4.668.231"
    },
    {
      "tgl": "10/08/2026",
      "ref": "SPE-10082026",
      "channel": "Shopee",
      "kasAcc": "1-201",
      "jualAcc": "4-103",
      "gross": "14.179.629",
      "diskon": "",
      "biaya": "2.126.944",
      "net": "12.052.685"
    },
    {
      "tgl": "10/08/2026",
      "ref": "TTK-10082026",
      "channel": "TikTok Shop",
      "kasAcc": "1-204",
      "jualAcc": "4-106",
      "gross": "6.160.265",
      "diskon": "",
      "biaya": "924.040",
      "net": "5.236.225"
    },
    {
      "tgl": "11/08/2026",
      "ref": "POS-110820261",
      "channel": "POS Toko",
      "kasAcc": "1-102",
      "jualAcc": "4-101",
      "gross": "185.000",
      "diskon": "",
      "biaya": "27.750",
      "net": "157.250"
    },
    {
      "tgl": "12/08/2026",
      "ref": "POS-120820261",
      "channel": "POS Toko",
      "kasAcc": "1-102",
      "jualAcc": "4-101",
      "gross": "35.000",
      "diskon": "",
      "biaya": "5.250",
      "net": "29.750"
    },
    {
      "tgl": "08/08/2026",
      "ref": "POS-080820261",
      "channel": "POS Toko",
      "kasAcc": "1-102",
      "jualAcc": "4-101",
      "gross": "165.000",
      "diskon": "",
      "biaya": "24.750",
      "net": "140.250"
    },
    {
      "tgl": "09/08/2026",
      "ref": "POS-090820261",
      "channel": "POS Toko",
      "kasAcc": "1-102",
      "jualAcc": "4-101",
      "gross": "170.000",
      "diskon": "",
      "biaya": "25.500",
      "net": "144.500"
    },
    {
      "tgl": "11/08/2026",
      "ref": "SPE-11082026",
      "channel": "Shopee",
      "kasAcc": "1-201",
      "jualAcc": "4-103",
      "gross": "13.775.079",
      "diskon": "",
      "biaya": "2.066.262",
      "net": "11.708.817"
    },
    {
      "tgl": "12/08/2026",
      "ref": "SPE-12082026",
      "channel": "Shopee",
      "kasAcc": "1-201",
      "jualAcc": "4-103",
      "gross": "12.334.535",
      "diskon": "",
      "biaya": "1.850.180",
      "net": "10.484.355"
    },
    {
      "tgl": "11/08/2026",
      "ref": "TTK-11082026",
      "channel": "TikTok Shop",
      "kasAcc": "1-204",
      "jualAcc": "4-106",
      "gross": "9.787.001",
      "diskon": "",
      "biaya": "1.468.050",
      "net": "8.318.951"
    },
    {
      "tgl": "12/08/2026",
      "ref": "TTK-12082026",
      "channel": "TikTok Shop",
      "kasAcc": "1-204",
      "jualAcc": "4-106",
      "gross": "9.130.504",
      "diskon": "",
      "biaya": "1.369.576",
      "net": "7.760.928"
    },
    {
      "tgl": "07/08/2026",
      "ref": "POS-07082026",
      "channel": "POS Toko",
      "kasAcc": "1-101",
      "jualAcc": "4-101",
      "gross": "625.000",
      "diskon": "",
      "biaya": "93.750",
      "net": "531.250"
    },
    {
      "tgl": "08/08/2026",
      "ref": "POS-08082026",
      "channel": "POS Toko",
      "kasAcc": "1-101",
      "jualAcc": "4-101",
      "gross": "630.000",
      "diskon": "",
      "biaya": "94.500",
      "net": "535.500"
    },
    {
      "tgl": "09/08/2026",
      "ref": "POS-09082026",
      "channel": "POS Toko",
      "kasAcc": "1-101",
      "jualAcc": "4-101",
      "gross": "870.000",
      "diskon": "",
      "biaya": "130.500",
      "net": "739.500"
    },
    {
      "tgl": "10/08/2026",
      "ref": "POS-10082026",
      "channel": "POS Toko",
      "kasAcc": "1-101",
      "jualAcc": "4-101",
      "gross": "280.000",
      "diskon": "",
      "biaya": "42.000",
      "net": "238.000"
    },
    {
      "tgl": "11/08/2026",
      "ref": "POS-11082026",
      "channel": "POS Toko",
      "kasAcc": "1-101",
      "jualAcc": "4-101",
      "gross": "645.000",
      "diskon": "",
      "biaya": "96.750",
      "net": "548.250"
    },
    {
      "tgl": "12/08/2026",
      "ref": "POS-12082026",
      "channel": "POS Toko",
      "kasAcc": "1-101",
      "jualAcc": "4-101",
      "gross": "1.030.000",
      "diskon": "",
      "biaya": "154.500",
      "net": "875.500"
    },
    {
      "tgl": "RINGKASAN PER CHANNEL",
      "ref": "",
      "channel": "",
      "kasAcc": "",
      "jualAcc": "",
      "gross": "",
      "diskon": "",
      "biaya": "",
      "net": ""
    },
    {
      "tgl": "POS Toko",
      "ref": "",
      "channel": "",
      "kasAcc": "",
      "jualAcc": "",
      "gross": "7.022.000",
      "diskon": "0",
      "biaya": "1.053.300",
      "net": "5.968.700"
    },
    {
      "tgl": "Web Raabiha",
      "ref": "",
      "channel": "",
      "kasAcc": "",
      "jualAcc": "",
      "gross": "1.000.000",
      "diskon": "0",
      "biaya": "150.000",
      "net": "850.000"
    },
    {
      "tgl": "Shopee",
      "ref": "",
      "channel": "",
      "kasAcc": "",
      "jualAcc": "",
      "gross": "162.319.143",
      "diskon": "0",
      "biaya": "24.347.871",
      "net": "137.971.272"
    },
    {
      "tgl": "Lazada",
      "ref": "",
      "channel": "",
      "kasAcc": "",
      "jualAcc": "",
      "gross": "0",
      "diskon": "0",
      "biaya": "0",
      "net": "0"
    },
    {
      "tgl": "Tokopedia",
      "ref": "",
      "channel": "",
      "kasAcc": "",
      "jualAcc": "",
      "gross": "0",
      "diskon": "0",
      "biaya": "0",
      "net": "0"
    },
    {
      "tgl": "TikTok Shop",
      "ref": "",
      "channel": "",
      "kasAcc": "",
      "jualAcc": "",
      "gross": "92.754.540",
      "diskon": "0",
      "biaya": "13.913.181",
      "net": "78.841.359"
    }
  ],
  "pembelian": [
    {
      "tgl": "01/08/2026",
      "faktur": "BP010826",
      "jenis": "Ongkos Jahit",
      "item": "Biaya produksi",
      "total": "11.555.600",
      "debAcc": "5-202",
      "kreAcc": "1-102"
    },
    {
      "tgl": "01/08/2026",
      "faktur": "BB0108261",
      "jenis": "Bahan Baku",
      "item": "pembelian kain ity",
      "total": "14.300.000",
      "debAcc": "5-201",
      "kreAcc": "1-102"
    },
    {
      "tgl": "07/08/2026",
      "faktur": "BB070826",
      "jenis": "Bahan Baku",
      "item": "pembelian kain jersey livina",
      "total": "5.096.250",
      "debAcc": "5-201",
      "kreAcc": "1-102"
    },
    {
      "tgl": "08/08/2026",
      "faktur": "BB080826",
      "jenis": "Bahan Baku",
      "item": "pembelian kain ity",
      "total": "26.812.500",
      "debAcc": "5-201",
      "kreAcc": "1-102"
    },
    {
      "tgl": "08/08/2026",
      "faktur": "BB0808261",
      "jenis": "Bahan Baku",
      "item": "pembelian kain ity",
      "total": "17.875.000",
      "debAcc": "5-201",
      "kreAcc": "1-102"
    },
    {
      "tgl": "07/08/2026",
      "faktur": "BP070826",
      "jenis": "Ongkos Jahit",
      "item": "Biaya produksi",
      "total": "13.897.150",
      "debAcc": "5-202",
      "kreAcc": "1-102"
    },
    {
      "tgl": "03/08/2026",
      "faktur": "AK030826",
      "jenis": "Aksesoris",
      "item": "logo bross",
      "total": "7.250.000",
      "debAcc": "5-203",
      "kreAcc": "1-102"
    }
  ],
  "beban": [
    {
      "tgl": "01/08/2026",
      "bukti": "PC010826",
      "bebAcc": "6-109",
      "nama": "Beban Lain-lain",
      "detail": "pengisian kas kecil produksi",
      "nominal": "1.238.000",
      "sumber": "Kas Bank BCA"
    },
    {
      "tgl": "01/08/2026",
      "bukti": "PR010826",
      "bebAcc": "3-102",
      "nama": "Prive Pemilik",
      "detail": "laba teh dini bulan juli",
      "nominal": "5.063.500",
      "sumber": "Kas Bank BCA"
    },
    {
      "tgl": "01/08/2026",
      "bukti": "PR0108261",
      "bebAcc": "3-102",
      "nama": "Prive Pemilik",
      "detail": "tabungan",
      "nominal": "20.000.000",
      "sumber": "Kas Bank BCA"
    },
    {
      "tgl": "01/08/2026",
      "bukti": "IT010826",
      "bebAcc": "6-104",
      "nama": "Beban Pemasaran &amp; Iklan Digital",
      "detail": "iklan tiktok",
      "nominal": "1.776.000",
      "sumber": "Kas Bank BCA"
    },
    {
      "tgl": "03/08/2026",
      "bukti": "BI030826",
      "bebAcc": "6-103",
      "nama": "Beban Listrik; Air &amp; Internet",
      "detail": "wifi",
      "nominal": "340.440",
      "sumber": "Kas Bank BCA"
    },
    {
      "tgl": "04/08/2026",
      "bukti": "BA040826",
      "bebAcc": "6-107",
      "nama": "Beban Administrasi &amp; Bank",
      "detail": "biaya adm",
      "nominal": "30.000",
      "sumber": "Kas Bank BCA"
    },
    {
      "tgl": "05/08/2026",
      "bukti": "BJ050826",
      "bebAcc": "6-109",
      "nama": "Beban Lain-lain",
      "detail": "konsultan shopee",
      "nominal": "3.799.000",
      "sumber": "Kas Bank BCA"
    },
    {
      "tgl": "05/08/2026",
      "bukti": "BA050826",
      "bebAcc": "6-107",
      "nama": "Beban Administrasi &amp; Bank",
      "detail": "biaya transfer bank",
      "nominal": "2.500",
      "sumber": "Kas Bank BCA"
    },
    {
      "tgl": "05/08/2026",
      "bukti": "BJ0508261",
      "bebAcc": "6-109",
      "nama": "Beban Lain-lain",
      "detail": "konsultan accounting",
      "nominal": "3.333.400",
      "sumber": "Kas Bank BCA"
    },
    {
      "tgl": "10/08/2026",
      "bukti": "PRT100826",
      "bebAcc": "1-401",
      "nama": "Peralatan &amp; Mesin Jahit",
      "detail": "pembelian meja kantor",
      "nominal": "400.000",
      "sumber": "Kas Bank BCA"
    },
    {
      "tgl": "10/08/2026",
      "bukti": "PRT1008261",
      "bebAcc": "1-401",
      "nama": "Peralatan &amp; Mesin Jahit",
      "detail": "pembelian kursi",
      "nominal": "550.000",
      "sumber": "Kas Bank BCA"
    },
    {
      "tgl": "10/08/2026",
      "bukti": "PRT1008262",
      "bebAcc": "1-401",
      "nama": "Peralatan &amp; Mesin Jahit",
      "detail": "pembelian kursi",
      "nominal": "380.000",
      "sumber": "Kas Bank BCA"
    },
    {
      "tgl": "07/08/2026",
      "bukti": "IKL070826",
      "bebAcc": "6-104",
      "nama": "Beban Pemasaran &amp; Iklan Digital",
      "detail": "iklan tiktok",
      "nominal": "1.776.000",
      "sumber": "Kas Bank BCA"
    },
    {
      "tgl": "07/08/2026",
      "bukti": "PJK070826",
      "bebAcc": "6-109",
      "nama": "Beban Lain-lain",
      "detail": "pajak mobil luxio",
      "nominal": "3.750.000",
      "sumber": "Kas Bank BCA"
    },
    {
      "tgl": "07/08/2026",
      "bukti": "ADM070826",
      "bebAcc": "6-107",
      "nama": "Beban Administrasi &amp; Bank",
      "detail": "admin tf",
      "nominal": "2.500",
      "sumber": "Kas Bank BCA"
    },
    {
      "tgl": "11/08/2026",
      "bukti": "IKL110826",
      "bebAcc": "6-104",
      "nama": "Beban Pemasaran &amp; Iklan Digital",
      "detail": "iklan tiktok",
      "nominal": "1.776.000",
      "sumber": "Kas Bank BCA"
    },
    {
      "tgl": "11/08/2026",
      "bukti": "RF110826",
      "bebAcc": "4-103",
      "nama": "Penjualan — Shopee",
      "detail": "refund",
      "nominal": "55.000",
      "sumber": "Kas Bank BCA"
    },
    {
      "tgl": "11/08/2026",
      "bukti": "ADM110826",
      "bebAcc": "6-107",
      "nama": "Beban Administrasi &amp; Bank",
      "detail": "admin tf",
      "nominal": "2.500",
      "sumber": "Kas Bank BCA"
    },
    {
      "tgl": "01/08/2026",
      "bukti": "WEB-IT01",
      "bebAcc": "6-110",
      "nama": "Beban IT, Server &amp; Operational Web",
      "detail": "Sewa Domain &amp; Server Web Raabiha",
      "nominal": "4.000.000",
      "sumber": "Kas Bank BCA"
    },
    {
      "tgl": "05/08/2026",
      "bukti": "WEB-IT02",
      "bebAcc": "6-110",
      "nama": "Beban IT, Server &amp; Operational Web",
      "detail": "Topup Saldo API Ongkir Biteship",
      "nominal": "100.000",
      "sumber": "Kas Bank BCA"
    },
    {
      "tgl": "10/08/2026",
      "bukti": "WEB-IT03",
      "bebAcc": "6-110",
      "nama": "Beban IT, Server &amp; Operational Web",
      "detail": "Topup Saldo API Email Resend Notifikasi",
      "nominal": "150.000",
      "sumber": "Kas Bank BCA"
    },
    {
      "tgl": "01/08/2026",
      "bukti": "WEB-IT01",
      "bebAcc": "6-110",
      "nama": "Beban IT, Server &amp; Operational Web",
      "detail": "Sewa Domain &amp; Server Vercel Pro Web Raabiha",
      "nominal": "350.000",
      "sumber": "Kas Bank BCA"
    },
    {
      "tgl": "05/08/2026",
      "bukti": "WEB-IT02",
      "bebAcc": "6-110",
      "nama": "Beban IT, Server &amp; Operational Web",
      "detail": "Topup Saldo API Ongkir Biteship",
      "nominal": "100.000",
      "sumber": "Kas Bank BCA"
    },
    {
      "tgl": "10/08/2026",
      "bukti": "WEB-IT03",
      "bebAcc": "6-110",
      "nama": "Beban IT, Server &amp; Operational Web",
      "detail": "Topup Saldo API Email Resend Notifikasi",
      "nominal": "150.000",
      "sumber": "Kas Bank BCA"
    },
    {
      "tgl": "RINGKASAN TOTAL BEBAN PER AKUN (OTOMATIS)",
      "bukti": "",
      "bebAcc": "",
      "nama": "",
      "detail": "",
      "nominal": "",
      "sumber": ""
    },
    {
      "tgl": "6-101",
      "bukti": "Beban Gaji",
      "bebAcc": "",
      "nama": "",
      "detail": "",
      "nominal": "0",
      "sumber": ""
    },
    {
      "tgl": "6-102",
      "bukti": "Beban Sewa",
      "bebAcc": "",
      "nama": "",
      "detail": "",
      "nominal": "0",
      "sumber": ""
    },
    {
      "tgl": "6-103",
      "bukti": "Beban Listrik",
      "bebAcc": "",
      "nama": "",
      "detail": "",
      "nominal": "340.440",
      "sumber": ""
    },
    {
      "tgl": "6-104",
      "bukti": "Beban Pemasaran",
      "bebAcc": "",
      "nama": "",
      "detail": "",
      "nominal": "5.328.000",
      "sumber": ""
    },
    {
      "tgl": "6-105",
      "bukti": "Beban Kurir",
      "bebAcc": "",
      "nama": "",
      "detail": "",
      "nominal": "0",
      "sumber": ""
    },
    {
      "tgl": "6-106",
      "bukti": "Beban Penyusutan",
      "bebAcc": "",
      "nama": "",
      "detail": "",
      "nominal": "0",
      "sumber": ""
    },
    {
      "tgl": "6-107",
      "bukti": "Beban Admin &amp; Bank",
      "bebAcc": "",
      "nama": "",
      "detail": "",
      "nominal": "37.500",
      "sumber": ""
    },
    {
      "tgl": "6-108",
      "bukti": "Beban Perlengkapan",
      "bebAcc": "",
      "nama": "",
      "detail": "",
      "nominal": "0",
      "sumber": ""
    },
    {
      "tgl": "6-109",
      "bukti": "Beban Lain-lain",
      "bebAcc": "",
      "nama": "",
      "detail": "",
      "nominal": "12.120.400",
      "sumber": ""
    },
    {
      "tgl": "TOTAL SEMUA BEBAN",
      "bukti": "",
      "bebAcc": "",
      "nama": "",
      "detail": "",
      "nominal": "17.826.340",
      "sumber": ""
    }
  ],
  "penyesuaian": [
    {
      "tgl": "29/07/2026",
      "ajp": "AJP-001",
      "detail": "Penyusutan mesin jahit bulan ini",
      "debAcc": "6-106",
      "kreAcc": "1-402",
      "nominal": "500.000"
    },
    {
      "tgl": "07/08/2026",
      "ajp": "",
      "detail": "penarikan saldo tiktok",
      "debAcc": "1-102",
      "kreAcc": "1-204",
      "nominal": "29.854.839"
    },
    {
      "tgl": "07/08/2026",
      "ajp": "",
      "detail": "penarikan saldo shopee",
      "debAcc": "1-102",
      "kreAcc": "1-201",
      "nominal": "47.511.384"
    },
    {
      "tgl": "14/08/2026",
      "ajp": "XENDIT-001",
      "detail": "Penarikan saldo Web Raabiha",
      "debAcc": "1-102",
      "kreAcc": "1-205",
      "nominal": "1.000.000"
    }
  ]
}</t>
  </si>
  <si>
    <t>LABA BERSIH</t>
  </si>
  <si>
    <t>PAJAK TERHUTANG</t>
  </si>
  <si>
    <t>TANGGAL MULAI</t>
  </si>
  <si>
    <t>TANGGAL SELESAI</t>
  </si>
  <si>
    <t>4-101</t>
  </si>
  <si>
    <t>Tunai</t>
  </si>
  <si>
    <t>POS-02</t>
  </si>
  <si>
    <t>1-102</t>
  </si>
  <si>
    <t>Gesek EDC</t>
  </si>
  <si>
    <t>WEB-01</t>
  </si>
  <si>
    <t>Kas Bank BCA CV Sinar Mandani</t>
  </si>
  <si>
    <t>Web Raabiha</t>
  </si>
  <si>
    <t>1-205</t>
  </si>
  <si>
    <t>4-102</t>
  </si>
  <si>
    <t>Payment Gateway</t>
  </si>
  <si>
    <t>SPE-01</t>
  </si>
  <si>
    <t>Shopee</t>
  </si>
  <si>
    <t>1-201</t>
  </si>
  <si>
    <t>4-103</t>
  </si>
  <si>
    <t>Settlement Shopee</t>
  </si>
  <si>
    <t>TTK-01</t>
  </si>
  <si>
    <t>TikTok Shop</t>
  </si>
  <si>
    <t>1-204</t>
  </si>
  <si>
    <t>RINGKASAN PENJUALAN PER CHANNEL</t>
  </si>
  <si>
    <t>Channel</t>
  </si>
  <si>
    <t>Gross Sales</t>
  </si>
  <si>
    <t>Diskon</t>
  </si>
  <si>
    <t>Biaya Platform</t>
  </si>
  <si>
    <t>Net Sales</t>
  </si>
  <si>
    <t>% dari Total</t>
  </si>
  <si>
    <t>4-106</t>
  </si>
  <si>
    <t>Settlement TikTok</t>
  </si>
  <si>
    <t>TKP-01</t>
  </si>
  <si>
    <t>Tokopedia</t>
  </si>
  <si>
    <t>1-203</t>
  </si>
  <si>
    <t>4-105</t>
  </si>
  <si>
    <t>1-103</t>
  </si>
  <si>
    <t>Kas Bank Mandiri</t>
  </si>
  <si>
    <t>Settlement Tokopedia</t>
  </si>
  <si>
    <t>LZD-01</t>
  </si>
  <si>
    <t>Lazada</t>
  </si>
  <si>
    <t>1-202</t>
  </si>
  <si>
    <t>4-104</t>
  </si>
  <si>
    <t>Settlement Lazada</t>
  </si>
  <si>
    <t>1-104</t>
  </si>
  <si>
    <t>Kas Bank BCA Novianti</t>
  </si>
  <si>
    <t>Piutang Shopee</t>
  </si>
  <si>
    <t>Piutang Dagang</t>
  </si>
  <si>
    <t>INPUT — PEMBELIAN &amp; BIAYA PRODUKSI KONVEKSI</t>
  </si>
  <si>
    <t>Gunakan untuk: (1) Beli bahan baku konveksi dari supplier; (2) Restok baju jadi dari supplier; (3) Bayar ongkos jahit/potong per batch produksi.</t>
  </si>
  <si>
    <t>no_faktur</t>
  </si>
  <si>
    <t>jenis</t>
  </si>
  <si>
    <t>supplier</t>
  </si>
  <si>
    <t>keterangan_item</t>
  </si>
  <si>
    <t>qty</t>
  </si>
  <si>
    <t>satuan</t>
  </si>
  <si>
    <t>harga_satuan</t>
  </si>
  <si>
    <t>total</t>
  </si>
  <si>
    <t>status_bayar</t>
  </si>
  <si>
    <t>kode_akun_debet</t>
  </si>
  <si>
    <t>nama_akun_debet</t>
  </si>
  <si>
    <t>kode_akun_kredit</t>
  </si>
  <si>
    <t>nama_akun_kredit</t>
  </si>
  <si>
    <t>BB-01</t>
  </si>
  <si>
    <t>Bahan Baku</t>
  </si>
  <si>
    <t>PT. Sunnytex</t>
  </si>
  <si>
    <t>Kain Ity</t>
  </si>
  <si>
    <t>kg</t>
  </si>
  <si>
    <t>5-201</t>
  </si>
  <si>
    <t>Piutang Lazada</t>
  </si>
  <si>
    <t>TOTAL</t>
  </si>
  <si>
    <t>BP-01</t>
  </si>
  <si>
    <t>Ongkos Jahit</t>
  </si>
  <si>
    <t>Konveksi</t>
  </si>
  <si>
    <t>Jahit Baju</t>
  </si>
  <si>
    <t>pcs</t>
  </si>
  <si>
    <t>5-202</t>
  </si>
  <si>
    <t>MENU NAVIGASI CEPAT</t>
  </si>
  <si>
    <t>&gt;&gt; INPUT: Penjualan</t>
  </si>
  <si>
    <t>AK-01</t>
  </si>
  <si>
    <t>Aksesoris</t>
  </si>
  <si>
    <t>&gt;&gt; INPUT: Pembelian &amp; Produksi</t>
  </si>
  <si>
    <t>Toko Aksesoris</t>
  </si>
  <si>
    <t>Logo Bross</t>
  </si>
  <si>
    <t>&gt;&gt; INPUT: Beban &amp; Kas Keluar</t>
  </si>
  <si>
    <t>&gt;&gt; INPUT: Jurnal Penyesuaian</t>
  </si>
  <si>
    <t>&gt;&gt; Laba Rugi</t>
  </si>
  <si>
    <t>&gt;&gt; Posisi Keuangan</t>
  </si>
  <si>
    <t>5-203</t>
  </si>
  <si>
    <t>&gt;&gt; Arus Kas</t>
  </si>
  <si>
    <t>&gt;&gt; Kalkulator Pajak</t>
  </si>
  <si>
    <t>PRT-01</t>
  </si>
  <si>
    <t>Peralatan</t>
  </si>
  <si>
    <t>Toko Mebel</t>
  </si>
  <si>
    <t>Meja Office</t>
  </si>
  <si>
    <t>unit</t>
  </si>
  <si>
    <t>1-401</t>
  </si>
  <si>
    <t>Piutang Tokopedia</t>
  </si>
  <si>
    <t>Piutang TikTok Shop</t>
  </si>
  <si>
    <t>Piutang Web Raabiha</t>
  </si>
  <si>
    <t>1-206</t>
  </si>
  <si>
    <t>Piutang Pelanggan Lainnya</t>
  </si>
  <si>
    <t>INPUT — BEBAN OPERASIONAL &amp; KAS KELUAR</t>
  </si>
  <si>
    <t>Catat semua pengeluaran operasional: gaji; sewa; listrik; iklan; kurir; dll. 1 baris = 1 bukti/transaksi. Pilih kode akun dari COA.</t>
  </si>
  <si>
    <t>1-301</t>
  </si>
  <si>
    <t>Persediaan Bahan Baku</t>
  </si>
  <si>
    <t>Persediaan</t>
  </si>
  <si>
    <t>no_bukti</t>
  </si>
  <si>
    <t>kode_akun_beban</t>
  </si>
  <si>
    <t>nama_akun_beban</t>
  </si>
  <si>
    <t>keterangan_detail</t>
  </si>
  <si>
    <t>nominal</t>
  </si>
  <si>
    <t>sumber_kas</t>
  </si>
  <si>
    <t>B-01</t>
  </si>
  <si>
    <t>6-101</t>
  </si>
  <si>
    <t>Gaji Tim Toko</t>
  </si>
  <si>
    <t>1-302</t>
  </si>
  <si>
    <t>Persediaan Barang Dalam Proses</t>
  </si>
  <si>
    <t>B-02</t>
  </si>
  <si>
    <t>6-102</t>
  </si>
  <si>
    <t>Sewa Ruko</t>
  </si>
  <si>
    <t>B-03</t>
  </si>
  <si>
    <t>6-103</t>
  </si>
  <si>
    <t>Listrik &amp; Biznet</t>
  </si>
  <si>
    <t>B-04</t>
  </si>
  <si>
    <t>6-104</t>
  </si>
  <si>
    <t>1-303</t>
  </si>
  <si>
    <t>Persediaan Barang Jadi</t>
  </si>
  <si>
    <t>TikTok Ads</t>
  </si>
  <si>
    <t>B-05</t>
  </si>
  <si>
    <t>6-105</t>
  </si>
  <si>
    <t>Selisih Nombok Ongkir</t>
  </si>
  <si>
    <t>B-06</t>
  </si>
  <si>
    <t>6-107</t>
  </si>
  <si>
    <t>Biaya Transfer</t>
  </si>
  <si>
    <t>B-07</t>
  </si>
  <si>
    <t>6-110</t>
  </si>
  <si>
    <t>Vercel, Biteship, Resend</t>
  </si>
  <si>
    <t>B-08</t>
  </si>
  <si>
    <t>3-102</t>
  </si>
  <si>
    <t>Ambil Uang Pribadi</t>
  </si>
  <si>
    <t>Peralatan &amp; Mesin Jahit</t>
  </si>
  <si>
    <t>Aset Tetap</t>
  </si>
  <si>
    <t>1-402</t>
  </si>
  <si>
    <t>Akumulasi Penyusutan Peralatan</t>
  </si>
  <si>
    <t>CR</t>
  </si>
  <si>
    <t>1-403</t>
  </si>
  <si>
    <t>Kendaraan Operasional</t>
  </si>
  <si>
    <t>1-404</t>
  </si>
  <si>
    <t>Akumulasi Penyusutan Kendaraan</t>
  </si>
  <si>
    <t>2-101</t>
  </si>
  <si>
    <t>Hutang Dagang / Supplier</t>
  </si>
  <si>
    <t>Kewajiban</t>
  </si>
  <si>
    <t>Kewajiban Lancar</t>
  </si>
  <si>
    <t>2-102</t>
  </si>
  <si>
    <t>Hutang Bank</t>
  </si>
  <si>
    <t>Kewajiban Jangka Panjang</t>
  </si>
  <si>
    <t>2-103</t>
  </si>
  <si>
    <t>Hutang Pajak (PPh)</t>
  </si>
  <si>
    <t>3-101</t>
  </si>
  <si>
    <t>Modal Pemilik</t>
  </si>
  <si>
    <t>Ekuitas</t>
  </si>
  <si>
    <t>Modal</t>
  </si>
  <si>
    <t>Prive Pemilik</t>
  </si>
  <si>
    <t>Prive</t>
  </si>
  <si>
    <t>3-103</t>
  </si>
  <si>
    <t>Saldo Laba Ditahan</t>
  </si>
  <si>
    <t>Retained Earnings</t>
  </si>
  <si>
    <t>Penjualan — POS Toko</t>
  </si>
  <si>
    <t>Pendapatan</t>
  </si>
  <si>
    <t>Penjualan</t>
  </si>
  <si>
    <t>Laba Rugi</t>
  </si>
  <si>
    <t>Penjualan — Web Raabiha</t>
  </si>
  <si>
    <t>Penjualan — Shopee</t>
  </si>
  <si>
    <t>Penjualan — Lazada</t>
  </si>
  <si>
    <t>Penjualan — Tokopedia</t>
  </si>
  <si>
    <t>Penjualan — TikTok Shop</t>
  </si>
  <si>
    <t>4-201</t>
  </si>
  <si>
    <t>Pendapatan Jasa Konveksi</t>
  </si>
  <si>
    <t>Jasa</t>
  </si>
  <si>
    <t>4-901</t>
  </si>
  <si>
    <t>Diskon Penjualan</t>
  </si>
  <si>
    <t>Pengurang</t>
  </si>
  <si>
    <t>4-902</t>
  </si>
  <si>
    <t>Retur Penjualan</t>
  </si>
  <si>
    <t>4-903</t>
  </si>
  <si>
    <t>Biaya Jasa Marketplace</t>
  </si>
  <si>
    <t>5-101</t>
  </si>
  <si>
    <t>HPP — Penjualan Barang Jadi</t>
  </si>
  <si>
    <t>HPP</t>
  </si>
  <si>
    <t>HPP Toko</t>
  </si>
  <si>
    <t>Biaya Bahan Baku Konveksi</t>
  </si>
  <si>
    <t>Biaya Produksi</t>
  </si>
  <si>
    <t>Biaya Ongkos Jahit &amp; Potong</t>
  </si>
  <si>
    <t>Biaya Aksesoris &amp; Packing Produksi</t>
  </si>
  <si>
    <t>Beban Gaji Karyawan</t>
  </si>
  <si>
    <t>Beban</t>
  </si>
  <si>
    <t>Operasional</t>
  </si>
  <si>
    <t>Beban Sewa Tempat</t>
  </si>
  <si>
    <t>Beban Listrik; Air &amp; Internet</t>
  </si>
  <si>
    <t>Beban Pemasaran &amp; Iklan Digital</t>
  </si>
  <si>
    <t>Beban Ongkos Kirim / Kurir</t>
  </si>
  <si>
    <t>6-106</t>
  </si>
  <si>
    <t>Beban Penyusutan Aset</t>
  </si>
  <si>
    <t>Beban Administrasi &amp; Bank</t>
  </si>
  <si>
    <t>6-108</t>
  </si>
  <si>
    <t>Beban Perlengkapan Toko</t>
  </si>
  <si>
    <t>6-109</t>
  </si>
  <si>
    <t>Beban Lain-lain</t>
  </si>
  <si>
    <t>Lain-lain</t>
  </si>
  <si>
    <t>Beban IT, Server &amp; Operational Web</t>
  </si>
  <si>
    <t>INPUT — JURNAL PENYESUAIAN (AKHIR PERIODE)</t>
  </si>
  <si>
    <t>Diisi akhir bulan/tahun untuk: penyusutan aset; stok opname (selisih persediaan); biaya dibayar dimuka; reklasifikasi; dan koreksi jurnal.</t>
  </si>
  <si>
    <t>no_ajp</t>
  </si>
  <si>
    <t>keterangan_penyesuaian</t>
  </si>
  <si>
    <t>AJP-WEB</t>
  </si>
  <si>
    <t>Penarikan Web ke Bank Owner</t>
  </si>
  <si>
    <t>AJP-SPE</t>
  </si>
  <si>
    <t>Penarikan Shopee ke Bank Toko</t>
  </si>
  <si>
    <t>AJP-PENY</t>
  </si>
  <si>
    <t>Penyusutan Peralatan Bulan Ini</t>
  </si>
  <si>
    <t>RINGKASAN TOTAL BEBAN PER AKUN (OTOMATIS)</t>
  </si>
  <si>
    <t>Beban Gaji</t>
  </si>
  <si>
    <t>Beban Sewa</t>
  </si>
  <si>
    <t>Beban Listrik</t>
  </si>
  <si>
    <t>Beban Pemasaran</t>
  </si>
  <si>
    <t>Beban Kurir</t>
  </si>
  <si>
    <t>Beban Penyusutan</t>
  </si>
  <si>
    <t>Beban Admin &amp; Bank</t>
  </si>
  <si>
    <t>Beban Perlengkapan</t>
  </si>
  <si>
    <t>TOTAL SEMUA BEBAN</t>
  </si>
  <si>
    <t>BUKU BESAR (GENERAL LEDGER)</t>
  </si>
  <si>
    <t>Pilih kode akun di sel B3 untuk melihat mutasi akun tersebut.</t>
  </si>
  <si>
    <t>PILIH KODE AKUN:</t>
  </si>
  <si>
    <t>Nama Akun:</t>
  </si>
  <si>
    <t>Tgl Mulai (Opsional):</t>
  </si>
  <si>
    <t/>
  </si>
  <si>
    <t>LAPORAN LABA RUGI</t>
  </si>
  <si>
    <t>Uraian</t>
  </si>
  <si>
    <t>PENDAPATAN PENJUALAN</t>
  </si>
  <si>
    <t xml:space="preserve">  Penjualan POS Toko</t>
  </si>
  <si>
    <t xml:space="preserve">  Penjualan Web Raabiha</t>
  </si>
  <si>
    <t xml:space="preserve">  Penjualan Shopee</t>
  </si>
  <si>
    <t xml:space="preserve">  Penjualan Lazada</t>
  </si>
  <si>
    <t xml:space="preserve">  Penjualan Tokopedia</t>
  </si>
  <si>
    <t xml:space="preserve">  Penjualan TikTok Shop</t>
  </si>
  <si>
    <t xml:space="preserve">  Pendapatan Jasa Konveksi</t>
  </si>
  <si>
    <t>GROSS REVENUE</t>
  </si>
  <si>
    <t>PENGURANG PENDAPATAN</t>
  </si>
  <si>
    <t xml:space="preserve">  Diskon Penjualan</t>
  </si>
  <si>
    <t>Biaya Jasa Marketplace &amp; Payment Gateway</t>
  </si>
  <si>
    <t>NET REVENUE (PENDAPATAN BERSIH)</t>
  </si>
  <si>
    <t>HARGA POKOK PENJUALAN &amp; BIAYA PRODUKSI</t>
  </si>
  <si>
    <t xml:space="preserve">  HPP Penjualan Barang Jadi</t>
  </si>
  <si>
    <t xml:space="preserve">  Biaya Bahan Baku Konveksi</t>
  </si>
  <si>
    <t xml:space="preserve">  Biaya Ongkos Jahit &amp; Potong</t>
  </si>
  <si>
    <t xml:space="preserve">  Biaya Aksesoris Produksi</t>
  </si>
  <si>
    <t>TOTAL HPP &amp; BIAYA PRODUKSI</t>
  </si>
  <si>
    <t>LABA KOTOR (GROSS PROFIT)</t>
  </si>
  <si>
    <t>BEBAN OPERASIONAL</t>
  </si>
  <si>
    <t xml:space="preserve">  Beban Gaji Karyawan</t>
  </si>
  <si>
    <t xml:space="preserve">  Beban Sewa Tempat</t>
  </si>
  <si>
    <t xml:space="preserve">  Beban Listrik; Air &amp; Internet</t>
  </si>
  <si>
    <t xml:space="preserve">  Beban Pemasaran &amp; Iklan</t>
  </si>
  <si>
    <t xml:space="preserve">  Beban Ongkos Kirim / Kurir</t>
  </si>
  <si>
    <t xml:space="preserve">  Beban Penyusutan Aset</t>
  </si>
  <si>
    <t xml:space="preserve">  Beban Administrasi &amp; Bank</t>
  </si>
  <si>
    <t xml:space="preserve">  Beban Perlengkapan Toko</t>
  </si>
  <si>
    <t xml:space="preserve">  Beban Lain-lain</t>
  </si>
  <si>
    <t xml:space="preserve">  Beban IT, Server &amp; Operational Web</t>
  </si>
  <si>
    <t>LABA SEBELUM PAJAK</t>
  </si>
  <si>
    <t xml:space="preserve">  Beban Pajak (PPh Final 0,5% × Net Revenue)</t>
  </si>
  <si>
    <t>LABA BERSIH (NET PROFIT)</t>
  </si>
  <si>
    <t>RINGKASAN PER CHANNEL</t>
  </si>
  <si>
    <t>LAPORAN POSISI KEUANGAN (NERACA)</t>
  </si>
  <si>
    <t>ASET (AKTIVA)</t>
  </si>
  <si>
    <t>Jumlah (Rp)</t>
  </si>
  <si>
    <t>KEWAJIBAN &amp; EKUITAS</t>
  </si>
  <si>
    <t xml:space="preserve">  Kas Toko (POS)</t>
  </si>
  <si>
    <t xml:space="preserve">  Hutang Dagang / Supplier</t>
  </si>
  <si>
    <t xml:space="preserve">  Kas Bank BCA CV Sinar Mandani</t>
  </si>
  <si>
    <t>Total Kewajiban</t>
  </si>
  <si>
    <t xml:space="preserve">  Kas Bank Mandiri</t>
  </si>
  <si>
    <t xml:space="preserve">  Kas Bank BCA Novianti</t>
  </si>
  <si>
    <t>LAPORAN ARUS KAS (CASH FLOW)</t>
  </si>
  <si>
    <t xml:space="preserve">  Piutang Shopee</t>
  </si>
  <si>
    <t>Modal Pemilik (Saldo Awal)</t>
  </si>
  <si>
    <t>I. AKTIVITAS OPERASIONAL</t>
  </si>
  <si>
    <t xml:space="preserve">  Penerimaan dari Penjualan (semua channel)</t>
  </si>
  <si>
    <t xml:space="preserve">  Piutang Lazada</t>
  </si>
  <si>
    <t xml:space="preserve">  Prive / Pengambilan Pemilik</t>
  </si>
  <si>
    <t xml:space="preserve">  Pembayaran Beban Operasional</t>
  </si>
  <si>
    <t xml:space="preserve">  Piutang Tokopedia</t>
  </si>
  <si>
    <t xml:space="preserve">  Pembayaran ke Supplier (tunai)</t>
  </si>
  <si>
    <t xml:space="preserve">  Laba Bersih Tahun Ini</t>
  </si>
  <si>
    <t>ARUS KAS BERSIH DARI OPERASIONAL</t>
  </si>
  <si>
    <t xml:space="preserve">  Piutang TikTok Shop</t>
  </si>
  <si>
    <t>Total Ekuitas</t>
  </si>
  <si>
    <t>II. AKTIVITAS INVESTASI</t>
  </si>
  <si>
    <t xml:space="preserve">  Pembelian Aset Tetap</t>
  </si>
  <si>
    <t xml:space="preserve">  Piutang Web Raabiha (Saldo Xendit)</t>
  </si>
  <si>
    <t xml:space="preserve">  Persediaan Bahan Baku</t>
  </si>
  <si>
    <t>ARUS KAS BERSIH DARI INVESTASI</t>
  </si>
  <si>
    <t>TOTAL KEWAJIBAN &amp; EKUITAS</t>
  </si>
  <si>
    <t>III. AKTIVITAS PENDANAAN</t>
  </si>
  <si>
    <t xml:space="preserve">  Setoran Modal Pemilik</t>
  </si>
  <si>
    <t xml:space="preserve">  Persediaan Barang Jadi</t>
  </si>
  <si>
    <t>Total Aset Lancar</t>
  </si>
  <si>
    <t>ARUS KAS BERSIH DARI PENDANAAN</t>
  </si>
  <si>
    <t>KENAIKAN / (PENURUNAN) KAS BERSIH</t>
  </si>
  <si>
    <t xml:space="preserve">  Peralatan &amp; Mesin (setelah penyusutan)</t>
  </si>
  <si>
    <t>Saldo Kas Awal Periode</t>
  </si>
  <si>
    <t>Total Aset Tetap</t>
  </si>
  <si>
    <t>SALDO KAS AKHIR PERIODE</t>
  </si>
  <si>
    <t>TOTAL ASET</t>
  </si>
  <si>
    <t>LAPORAN PERUBAHAN EKUITAS</t>
  </si>
  <si>
    <t>Modal Awal Periode (isi manual)</t>
  </si>
  <si>
    <t>(+) Tambahan Setoran Modal</t>
  </si>
  <si>
    <t>(+) Laba Bersih Tahun Ini</t>
  </si>
  <si>
    <t>KALKULATOR PAJAK UMKM (PPh FINAL PP 55/2022)</t>
  </si>
  <si>
    <t>Tarif 0% untuk omset ≤ Rp 500 Juta/tahun | Tarif 0;5% untuk Rp 500 Juta–Rp 4;8 Miliar/tahun</t>
  </si>
  <si>
    <t>Bulan</t>
  </si>
  <si>
    <t>Omset Bulan Ini (Rp)</t>
  </si>
  <si>
    <t>Akumulasi Omset (Rp)</t>
  </si>
  <si>
    <t>(-) Prive / Pengambilan Pemilik</t>
  </si>
  <si>
    <t>Pajak Terhutang (Rp)</t>
  </si>
  <si>
    <t>Status</t>
  </si>
  <si>
    <t>Januari</t>
  </si>
  <si>
    <t>MODAL AKHIR PERIODE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</si>
  <si>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</si>
  <si>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</si>
  <si>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</si>
  <si>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</si>
  <si>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</si>
  <si>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</si>
  <si>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</si>
  <si>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</si>
  <si>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</si>
  <si>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</si>
  <si>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</si>
  <si>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SETAHUN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</si>
</sst>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/yyyy"/>
    <numFmt numFmtId="166" formatCode="0.0%"/>
    <numFmt numFmtId="167" formatCode="M/d/yyyy"/>
    <numFmt numFmtId="168" formatCode="[$Rp]#,##0"/>
    <numFmt numFmtId="169" formatCode="yyyy-mm-dd"/>
  </numFmts>
  <fonts count="2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sz val="9.0"/>
      <color rgb="FF64748B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rgb="FF94A3B8"/>
      <name val="Arial"/>
      <scheme val="minor"/>
    </font>
    <font>
      <b/>
      <sz val="8.0"/>
      <color rgb="FF64748B"/>
      <name val="Arial"/>
      <scheme val="minor"/>
    </font>
    <font>
      <b/>
      <sz val="8.0"/>
      <color theme="1"/>
      <name val="Arial"/>
      <scheme val="minor"/>
    </font>
    <font>
      <b/>
      <sz val="13.0"/>
      <color rgb="FF0284C7"/>
      <name val="Arial"/>
      <scheme val="minor"/>
    </font>
    <font>
      <b/>
      <sz val="13.0"/>
      <color rgb="FFDC2626"/>
      <name val="Arial"/>
      <scheme val="minor"/>
    </font>
    <font>
      <b/>
      <sz val="13.0"/>
      <color rgb="FF16A34A"/>
      <name val="Arial"/>
      <scheme val="minor"/>
    </font>
    <font>
      <b/>
      <sz val="13.0"/>
      <color rgb="FF9333EA"/>
      <name val="Arial"/>
      <scheme val="minor"/>
    </font>
    <font>
      <b/>
      <sz val="13.0"/>
      <color rgb="FFD97706"/>
      <name val="Arial"/>
      <scheme val="minor"/>
    </font>
    <font>
      <b/>
      <sz val="13.0"/>
      <color rgb="FF0F172A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b/>
      <color rgb="FF0EA5E9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color rgb="FF0F172A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0FDF4"/>
        <bgColor rgb="FFF0FDF4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7C2D12"/>
        <bgColor rgb="FF7C2D12"/>
      </patternFill>
    </fill>
    <fill>
      <patternFill patternType="solid">
        <fgColor rgb="FFBBF7D0"/>
        <bgColor rgb="FFBBF7D0"/>
      </patternFill>
    </fill>
    <fill>
      <patternFill patternType="solid">
        <fgColor rgb="FFFEF2F2"/>
        <bgColor rgb="FFFEF2F2"/>
      </patternFill>
    </fill>
    <fill>
      <patternFill patternType="solid">
        <fgColor rgb="FFEFF6FF"/>
        <bgColor rgb="FFEFF6FF"/>
      </patternFill>
    </fill>
    <fill>
      <patternFill patternType="solid">
        <fgColor rgb="FFFFF7ED"/>
        <bgColor rgb="FFFFF7ED"/>
      </patternFill>
    </fill>
    <fill>
      <patternFill patternType="solid">
        <fgColor rgb="FFFDF4FF"/>
        <bgColor rgb="FFFDF4FF"/>
      </patternFill>
    </fill>
    <fill>
      <patternFill patternType="solid">
        <fgColor rgb="FF7C3AED"/>
        <bgColor rgb="FF7C3AED"/>
      </patternFill>
    </fill>
    <fill>
      <patternFill patternType="solid">
        <fgColor rgb="FFFEF08A"/>
        <bgColor rgb="FFFEF08A"/>
      </patternFill>
    </fill>
    <fill>
      <patternFill patternType="solid">
        <fgColor rgb="FFFFE599"/>
        <bgColor rgb="FFFFE599"/>
      </patternFill>
    </fill>
    <fill>
      <patternFill patternType="solid">
        <fgColor rgb="FFE2E8F0"/>
        <bgColor rgb="FFE2E8F0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vertical="center"/>
    </xf>
    <xf borderId="0" fillId="4" fontId="5" numFmtId="0" xfId="0" applyAlignment="1" applyFill="1" applyFont="1">
      <alignment readingOrder="0"/>
    </xf>
    <xf borderId="0" fillId="3" fontId="6" numFmtId="0" xfId="0" applyAlignment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5" fontId="7" numFmtId="0" xfId="0" applyAlignment="1" applyFill="1" applyFont="1">
      <alignment horizontal="center" readingOrder="0" shrinkToFit="0" wrapText="1"/>
    </xf>
    <xf borderId="0" fillId="6" fontId="7" numFmtId="0" xfId="0" applyAlignment="1" applyFill="1" applyFont="1">
      <alignment horizontal="center" readingOrder="0" shrinkToFit="0" wrapText="1"/>
    </xf>
    <xf borderId="0" fillId="7" fontId="7" numFmtId="0" xfId="0" applyAlignment="1" applyFill="1" applyFont="1">
      <alignment horizontal="center" readingOrder="0" shrinkToFit="0" wrapText="1"/>
    </xf>
    <xf borderId="0" fillId="8" fontId="7" numFmtId="0" xfId="0" applyAlignment="1" applyFill="1" applyFont="1">
      <alignment horizontal="center" readingOrder="0" shrinkToFit="0" wrapText="1"/>
    </xf>
    <xf borderId="0" fillId="9" fontId="7" numFmtId="0" xfId="0" applyAlignment="1" applyFill="1" applyFont="1">
      <alignment horizontal="center" readingOrder="0" shrinkToFit="0" wrapText="1"/>
    </xf>
    <xf borderId="0" fillId="10" fontId="7" numFmtId="0" xfId="0" applyAlignment="1" applyFill="1" applyFont="1">
      <alignment horizontal="center" readingOrder="0" shrinkToFit="0" wrapText="1"/>
    </xf>
    <xf borderId="0" fillId="11" fontId="8" numFmtId="0" xfId="0" applyAlignment="1" applyFill="1" applyFont="1">
      <alignment horizontal="center" readingOrder="0"/>
    </xf>
    <xf borderId="0" fillId="0" fontId="5" numFmtId="0" xfId="0" applyFont="1"/>
    <xf borderId="0" fillId="5" fontId="9" numFmtId="3" xfId="0" applyAlignment="1" applyFont="1" applyNumberFormat="1">
      <alignment horizontal="center"/>
    </xf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6" fontId="10" numFmtId="3" xfId="0" applyAlignment="1" applyFont="1" applyNumberFormat="1">
      <alignment horizontal="center"/>
    </xf>
    <xf borderId="0" fillId="0" fontId="5" numFmtId="3" xfId="0" applyFont="1" applyNumberFormat="1"/>
    <xf borderId="0" fillId="7" fontId="11" numFmtId="3" xfId="0" applyAlignment="1" applyFont="1" applyNumberFormat="1">
      <alignment horizontal="center"/>
    </xf>
    <xf borderId="0" fillId="8" fontId="12" numFmtId="3" xfId="0" applyAlignment="1" applyFont="1" applyNumberFormat="1">
      <alignment horizontal="center"/>
    </xf>
    <xf borderId="0" fillId="9" fontId="13" numFmtId="3" xfId="0" applyAlignment="1" applyFont="1" applyNumberFormat="1">
      <alignment horizontal="center"/>
    </xf>
    <xf borderId="0" fillId="10" fontId="14" numFmtId="3" xfId="0" applyAlignment="1" applyFont="1" applyNumberFormat="1">
      <alignment horizontal="center"/>
    </xf>
    <xf borderId="0" fillId="11" fontId="15" numFmtId="164" xfId="0" applyAlignment="1" applyFont="1" applyNumberFormat="1">
      <alignment horizontal="center" readingOrder="0"/>
    </xf>
    <xf borderId="0" fillId="11" fontId="15" numFmtId="165" xfId="0" applyAlignment="1" applyFont="1" applyNumberFormat="1">
      <alignment horizontal="center" readingOrder="0"/>
    </xf>
    <xf borderId="0" fillId="3" fontId="4" numFmtId="0" xfId="0" applyAlignment="1" applyFont="1">
      <alignment readingOrder="0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vertical="center"/>
    </xf>
    <xf borderId="0" fillId="12" fontId="5" numFmtId="0" xfId="0" applyAlignment="1" applyFill="1" applyFont="1">
      <alignment readingOrder="0"/>
    </xf>
    <xf borderId="0" fillId="12" fontId="5" numFmtId="3" xfId="0" applyFont="1" applyNumberFormat="1"/>
    <xf borderId="0" fillId="12" fontId="5" numFmtId="166" xfId="0" applyFont="1" applyNumberFormat="1"/>
    <xf borderId="0" fillId="13" fontId="5" numFmtId="0" xfId="0" applyAlignment="1" applyFill="1" applyFont="1">
      <alignment readingOrder="0"/>
    </xf>
    <xf borderId="0" fillId="14" fontId="1" numFmtId="0" xfId="0" applyAlignment="1" applyFill="1" applyFont="1">
      <alignment horizontal="center" readingOrder="0" vertical="center"/>
    </xf>
    <xf borderId="0" fillId="14" fontId="4" numFmtId="0" xfId="0" applyAlignment="1" applyFont="1">
      <alignment readingOrder="0" vertical="center"/>
    </xf>
    <xf borderId="0" fillId="0" fontId="16" numFmtId="0" xfId="0" applyAlignment="1" applyFont="1">
      <alignment vertical="bottom"/>
    </xf>
    <xf borderId="0" fillId="15" fontId="2" numFmtId="0" xfId="0" applyAlignment="1" applyFill="1" applyFont="1">
      <alignment readingOrder="0"/>
    </xf>
    <xf borderId="0" fillId="15" fontId="2" numFmtId="3" xfId="0" applyFont="1" applyNumberFormat="1"/>
    <xf borderId="0" fillId="15" fontId="2" numFmtId="0" xfId="0" applyFont="1"/>
    <xf borderId="0" fillId="0" fontId="17" numFmtId="0" xfId="0" applyAlignment="1" applyFont="1">
      <alignment readingOrder="0"/>
    </xf>
    <xf borderId="0" fillId="0" fontId="5" numFmtId="164" xfId="0" applyFont="1" applyNumberFormat="1"/>
    <xf borderId="0" fillId="16" fontId="5" numFmtId="0" xfId="0" applyAlignment="1" applyFill="1" applyFont="1">
      <alignment readingOrder="0"/>
    </xf>
    <xf borderId="0" fillId="17" fontId="5" numFmtId="0" xfId="0" applyAlignment="1" applyFill="1" applyFont="1">
      <alignment readingOrder="0"/>
    </xf>
    <xf borderId="0" fillId="18" fontId="5" numFmtId="0" xfId="0" applyAlignment="1" applyFill="1" applyFont="1">
      <alignment readingOrder="0"/>
    </xf>
    <xf borderId="0" fillId="19" fontId="5" numFmtId="0" xfId="0" applyAlignment="1" applyFill="1" applyFont="1">
      <alignment readingOrder="0"/>
    </xf>
    <xf borderId="0" fillId="20" fontId="1" numFmtId="0" xfId="0" applyAlignment="1" applyFill="1" applyFont="1">
      <alignment horizontal="center" readingOrder="0" vertical="center"/>
    </xf>
    <xf borderId="0" fillId="20" fontId="4" numFmtId="0" xfId="0" applyAlignment="1" applyFont="1">
      <alignment readingOrder="0" vertical="center"/>
    </xf>
    <xf borderId="0" fillId="13" fontId="5" numFmtId="0" xfId="0" applyFont="1"/>
    <xf borderId="0" fillId="13" fontId="5" numFmtId="3" xfId="0" applyFont="1" applyNumberFormat="1"/>
    <xf borderId="0" fillId="0" fontId="3" numFmtId="0" xfId="0" applyAlignment="1" applyFont="1">
      <alignment readingOrder="0"/>
    </xf>
    <xf borderId="0" fillId="21" fontId="2" numFmtId="0" xfId="0" applyAlignment="1" applyFill="1" applyFont="1">
      <alignment readingOrder="0"/>
    </xf>
    <xf borderId="0" fillId="0" fontId="2" numFmtId="0" xfId="0" applyFont="1"/>
    <xf borderId="0" fillId="22" fontId="2" numFmtId="0" xfId="0" applyAlignment="1" applyFill="1" applyFont="1">
      <alignment readingOrder="0"/>
    </xf>
    <xf borderId="0" fillId="22" fontId="2" numFmtId="164" xfId="0" applyAlignment="1" applyFont="1" applyNumberFormat="1">
      <alignment readingOrder="0"/>
    </xf>
    <xf borderId="0" fillId="0" fontId="5" numFmtId="167" xfId="0" applyFont="1" applyNumberFormat="1"/>
    <xf borderId="0" fillId="0" fontId="5" numFmtId="168" xfId="0" applyFont="1" applyNumberFormat="1"/>
    <xf borderId="0" fillId="0" fontId="5" numFmtId="168" xfId="0" applyFont="1" applyNumberFormat="1"/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0" fillId="0" fontId="5" numFmtId="169" xfId="0" applyAlignment="1" applyFont="1" applyNumberFormat="1">
      <alignment readingOrder="0"/>
    </xf>
    <xf borderId="0" fillId="23" fontId="2" numFmtId="0" xfId="0" applyAlignment="1" applyFill="1" applyFont="1">
      <alignment readingOrder="0"/>
    </xf>
    <xf borderId="0" fillId="23" fontId="5" numFmtId="0" xfId="0" applyFont="1"/>
    <xf borderId="0" fillId="23" fontId="2" numFmtId="3" xfId="0" applyFont="1" applyNumberFormat="1"/>
    <xf borderId="0" fillId="23" fontId="20" numFmtId="0" xfId="0" applyAlignment="1" applyFont="1">
      <alignment readingOrder="0"/>
    </xf>
    <xf borderId="0" fillId="15" fontId="5" numFmtId="0" xfId="0" applyFont="1"/>
    <xf borderId="0" fillId="14" fontId="4" numFmtId="0" xfId="0" applyAlignment="1" applyFont="1">
      <alignment readingOrder="0"/>
    </xf>
    <xf borderId="0" fillId="15" fontId="21" numFmtId="0" xfId="0" applyAlignment="1" applyFont="1">
      <alignment readingOrder="0"/>
    </xf>
    <xf borderId="0" fillId="15" fontId="21" numFmtId="0" xfId="0" applyFont="1"/>
    <xf borderId="0" fillId="15" fontId="21" numFmtId="3" xfId="0" applyFont="1" applyNumberFormat="1"/>
    <xf borderId="0" fillId="2" fontId="4" numFmtId="0" xfId="0" applyAlignment="1" applyFont="1">
      <alignment readingOrder="0"/>
    </xf>
    <xf borderId="0" fillId="23" fontId="2" numFmtId="0" xfId="0" applyFont="1"/>
    <xf borderId="0" fillId="15" fontId="22" numFmtId="0" xfId="0" applyAlignment="1" applyFont="1">
      <alignment readingOrder="0"/>
    </xf>
    <xf borderId="0" fillId="15" fontId="22" numFmtId="0" xfId="0" applyFont="1"/>
    <xf borderId="0" fillId="15" fontId="22" numFmtId="3" xfId="0" applyFont="1" applyNumberFormat="1"/>
    <xf borderId="0" fillId="3" fontId="4" numFmtId="0" xfId="0" applyFont="1"/>
    <xf borderId="0" fillId="3" fontId="4" numFmtId="0" xfId="0" applyAlignment="1" applyFont="1">
      <alignment vertical="center"/>
    </xf>
    <xf borderId="0" fillId="0" fontId="2" numFmtId="3" xfId="0" applyFont="1" applyNumberFormat="1"/>
    <xf borderId="0" fillId="12" fontId="5" numFmtId="0" xfId="0" applyFont="1"/>
    <xf borderId="0" fillId="3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ng Jessy Developer" id="{eb8a8537-ed5e-4183-918a-af198b1bb74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6-08-13T01:57:20.00" personId="{eb8a8537-ed5e-4183-918a-af198b1bb74f}" id="{49d4022d-d8ed-4502-ad28-039a8a3e83e4}" done="1">
    <x18tc:text xml:space="preserve">Cek fix, rumus buku besar benar atau tidak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9.5"/>
  </cols>
  <sheetData>
    <row r="1" ht="30.0" customHeight="1">
      <c r="A1" s="1" t="s">
        <v>0</v>
      </c>
    </row>
    <row r="2">
      <c r="A2" s="6" t="str">
        <f>"RAABIHA CLOTHING &amp; KONVEKSI — Periode: " &amp; TEXT(Dashboard!G5,"dd/mm/yyyy") &amp; " s/d " &amp; TEXT(Dashboard!H5,"dd/mm/yyyy")
</f>
        <v>RAABIHA CLOTHING &amp; KONVEKSI — Periode: 01/08/2026 s/d 31/08/2026</v>
      </c>
    </row>
    <row r="4" ht="30.0" customHeight="1">
      <c r="A4" s="10" t="s">
        <v>32</v>
      </c>
      <c r="B4" s="11" t="s">
        <v>34</v>
      </c>
      <c r="C4" s="12" t="s">
        <v>36</v>
      </c>
      <c r="D4" s="13" t="s">
        <v>37</v>
      </c>
      <c r="E4" s="14" t="s">
        <v>39</v>
      </c>
      <c r="F4" s="15" t="s">
        <v>40</v>
      </c>
      <c r="G4" s="16" t="s">
        <v>41</v>
      </c>
      <c r="H4" s="16" t="s">
        <v>42</v>
      </c>
    </row>
    <row r="5" ht="27.0" customHeight="1">
      <c r="A5" s="18">
        <f>SUMIFS('INPUT Penjualan'!H4:H1000, 'INPUT Penjualan'!A4:A1000, "&gt;="&amp;$G$5, 'INPUT Penjualan'!A4:A1000, "&lt;="&amp;$H$5)
</f>
        <v>34000000</v>
      </c>
      <c r="B5" s="21">
        <f>SUMIFS('INPUT Penjualan'!I4:I1000, 'INPUT Penjualan'!A4:A1000, "&gt;="&amp;$G$5, 'INPUT Penjualan'!A4:A1000, "&lt;="&amp;$H$5) + SUMIFS('INPUT Penjualan'!J4:J1000, 'INPUT Penjualan'!A4:A1000, "&gt;="&amp;$G$5, 'INPUT Penjualan'!A4:A1000, "&lt;="&amp;$H$5)
</f>
        <v>3330000</v>
      </c>
      <c r="C5" s="23">
        <f>SUMIFS('INPUT Penjualan'!K4:K1000, 'INPUT Penjualan'!A4:A1000, "&gt;="&amp;$G$5, 'INPUT Penjualan'!A4:A1000, "&lt;="&amp;$H$5)
</f>
        <v>30670000</v>
      </c>
      <c r="D5" s="24">
        <f>SUMIFS('INPUT Beban &amp; Kas Keluar'!F4:F997, 'INPUT Beban &amp; Kas Keluar'!A4:A997, "&gt;="&amp;$G$5, 'INPUT Beban &amp; Kas Keluar'!A4:A997, "&lt;="&amp;$H$5)
</f>
        <v>11150000</v>
      </c>
      <c r="E5" s="25">
        <f>VLOOKUP("LABA BERSIH (NET PROFIT)", 'Laba Rugi'!A:H, 8, FALSE)
</f>
        <v>8640000</v>
      </c>
      <c r="F5" s="26">
        <f>'Kalkulator Pajak'!D16</f>
        <v>0</v>
      </c>
      <c r="G5" s="27">
        <v>46235.0</v>
      </c>
      <c r="H5" s="28">
        <v>46265.0</v>
      </c>
    </row>
    <row r="7">
      <c r="A7" s="29" t="s">
        <v>62</v>
      </c>
    </row>
    <row r="8" ht="24.0" customHeight="1">
      <c r="A8" s="30" t="s">
        <v>63</v>
      </c>
      <c r="B8" s="30" t="s">
        <v>64</v>
      </c>
      <c r="C8" s="30" t="s">
        <v>65</v>
      </c>
      <c r="D8" s="30" t="s">
        <v>66</v>
      </c>
      <c r="E8" s="30" t="s">
        <v>67</v>
      </c>
      <c r="F8" s="30" t="s">
        <v>68</v>
      </c>
      <c r="G8" s="31"/>
      <c r="H8" s="31"/>
    </row>
    <row r="9">
      <c r="A9" s="32" t="s">
        <v>35</v>
      </c>
      <c r="B9" s="33">
        <f>SUMIFS('INPUT Penjualan'!H4:H1000, 'INPUT Penjualan'!C4:C1000, A9, 'INPUT Penjualan'!A4:A1000, "&gt;="&amp;$G$5, 'INPUT Penjualan'!A4:A1000, "&lt;="&amp;$H$5)
</f>
        <v>7000000</v>
      </c>
      <c r="C9" s="33">
        <f>SUMIFS('INPUT Penjualan'!I4:I1000, 'INPUT Penjualan'!C4:C1000, A9, 'INPUT Penjualan'!A4:A1000, "&gt;="&amp;$G$5, 'INPUT Penjualan'!A4:A1000, "&lt;="&amp;$H$5)
</f>
        <v>0</v>
      </c>
      <c r="D9" s="33">
        <f>SUMIFS('INPUT Penjualan'!J4:J1000, 'INPUT Penjualan'!C4:C1000, A9, 'INPUT Penjualan'!A4:A1000, "&gt;="&amp;$G$5, 'INPUT Penjualan'!A4:A1000, "&lt;="&amp;$H$5)
</f>
        <v>10000</v>
      </c>
      <c r="E9" s="33">
        <f>SUMIFS('INPUT Penjualan'!K4:K1000, 'INPUT Penjualan'!C4:C1000, A9, 'INPUT Penjualan'!A4:A1000, "&gt;="&amp;$G$5, 'INPUT Penjualan'!A4:A1000, "&lt;="&amp;$H$5)
</f>
        <v>6990000</v>
      </c>
      <c r="F9" s="34">
        <f t="shared" ref="F9:F14" si="1">IF(E$15=0, 0, E9/E$15)
</f>
        <v>0.2928361961</v>
      </c>
    </row>
    <row r="10">
      <c r="A10" s="35" t="s">
        <v>50</v>
      </c>
      <c r="B10" s="33">
        <f>SUMIFS('INPUT Penjualan'!H5:H1001, 'INPUT Penjualan'!C5:C1001, A10, 'INPUT Penjualan'!A5:A1001, "&gt;="&amp;$G$5, 'INPUT Penjualan'!A5:A1001, "&lt;="&amp;$H$5)
</f>
        <v>3000000</v>
      </c>
      <c r="C10" s="33">
        <f>SUMIFS('INPUT Penjualan'!I5:I1001, 'INPUT Penjualan'!C5:C1001, A10, 'INPUT Penjualan'!A5:A1001, "&gt;="&amp;$G$5, 'INPUT Penjualan'!A5:A1001, "&lt;="&amp;$H$5)
</f>
        <v>0</v>
      </c>
      <c r="D10" s="33">
        <f>SUMIFS('INPUT Penjualan'!J5:J1001, 'INPUT Penjualan'!C5:C1001, A10, 'INPUT Penjualan'!A5:A1001, "&gt;="&amp;$G$5, 'INPUT Penjualan'!A5:A1001, "&lt;="&amp;$H$5)
</f>
        <v>20000</v>
      </c>
      <c r="E10" s="33">
        <f>SUMIFS('INPUT Penjualan'!K5:K1001, 'INPUT Penjualan'!C5:C1001, A10, 'INPUT Penjualan'!A5:A1001, "&gt;="&amp;$G$5, 'INPUT Penjualan'!A5:A1001, "&lt;="&amp;$H$5)
</f>
        <v>2980000</v>
      </c>
      <c r="F10" s="34">
        <f t="shared" si="1"/>
        <v>0.124842899</v>
      </c>
    </row>
    <row r="11">
      <c r="A11" s="32" t="s">
        <v>55</v>
      </c>
      <c r="B11" s="33">
        <f>SUMIFS('INPUT Penjualan'!H6:H1002, 'INPUT Penjualan'!C6:C1002, A11, 'INPUT Penjualan'!A6:A1002, "&gt;="&amp;$G$5, 'INPUT Penjualan'!A6:A1002, "&lt;="&amp;$H$5)
</f>
        <v>10000000</v>
      </c>
      <c r="C11" s="33">
        <f>SUMIFS('INPUT Penjualan'!I6:I1002, 'INPUT Penjualan'!C6:C1002, A11, 'INPUT Penjualan'!A6:A1002, "&gt;="&amp;$G$5, 'INPUT Penjualan'!A6:A1002, "&lt;="&amp;$H$5)
</f>
        <v>0</v>
      </c>
      <c r="D11" s="33">
        <f>SUMIFS('INPUT Penjualan'!J6:J1002, 'INPUT Penjualan'!C6:C1002, A11, 'INPUT Penjualan'!A6:A1002, "&gt;="&amp;$G$5, 'INPUT Penjualan'!A6:A1002, "&lt;="&amp;$H$5)
</f>
        <v>1500000</v>
      </c>
      <c r="E11" s="33">
        <f>SUMIFS('INPUT Penjualan'!K6:K1002, 'INPUT Penjualan'!C6:C1002, A11, 'INPUT Penjualan'!A6:A1002, "&gt;="&amp;$G$5, 'INPUT Penjualan'!A6:A1002, "&lt;="&amp;$H$5)
</f>
        <v>8500000</v>
      </c>
      <c r="F11" s="34">
        <f t="shared" si="1"/>
        <v>0.3560955174</v>
      </c>
    </row>
    <row r="12">
      <c r="A12" s="35" t="s">
        <v>79</v>
      </c>
      <c r="B12" s="33">
        <f>SUMIFS('INPUT Penjualan'!H7:H1003, 'INPUT Penjualan'!C7:C1003, A12, 'INPUT Penjualan'!A7:A1003, "&gt;="&amp;$G$5, 'INPUT Penjualan'!A7:A1003, "&lt;="&amp;$H$5)
</f>
        <v>2000000</v>
      </c>
      <c r="C12" s="33">
        <f>SUMIFS('INPUT Penjualan'!I7:I1003, 'INPUT Penjualan'!C7:C1003, A12, 'INPUT Penjualan'!A7:A1003, "&gt;="&amp;$G$5, 'INPUT Penjualan'!A7:A1003, "&lt;="&amp;$H$5)
</f>
        <v>0</v>
      </c>
      <c r="D12" s="33">
        <f>SUMIFS('INPUT Penjualan'!J7:J1003, 'INPUT Penjualan'!C7:C1003, A12, 'INPUT Penjualan'!A7:A1003, "&gt;="&amp;$G$5, 'INPUT Penjualan'!A7:A1003, "&lt;="&amp;$H$5)
</f>
        <v>200000</v>
      </c>
      <c r="E12" s="33">
        <f>SUMIFS('INPUT Penjualan'!K7:K1003, 'INPUT Penjualan'!C7:C1003, A12, 'INPUT Penjualan'!A7:A1003, "&gt;="&amp;$G$5, 'INPUT Penjualan'!A7:A1003, "&lt;="&amp;$H$5)
</f>
        <v>1800000</v>
      </c>
      <c r="F12" s="34">
        <f t="shared" si="1"/>
        <v>0.07540846251</v>
      </c>
    </row>
    <row r="13">
      <c r="A13" s="32" t="s">
        <v>72</v>
      </c>
      <c r="B13" s="33">
        <f>SUMIFS('INPUT Penjualan'!H8:H1004, 'INPUT Penjualan'!C8:C1004, A13, 'INPUT Penjualan'!A8:A1004, "&gt;="&amp;$G$5, 'INPUT Penjualan'!A8:A1004, "&lt;="&amp;$H$5)
</f>
        <v>4000000</v>
      </c>
      <c r="C13" s="33">
        <f>SUMIFS('INPUT Penjualan'!I8:I1004, 'INPUT Penjualan'!C8:C1004, A13, 'INPUT Penjualan'!A8:A1004, "&gt;="&amp;$G$5, 'INPUT Penjualan'!A8:A1004, "&lt;="&amp;$H$5)
</f>
        <v>0</v>
      </c>
      <c r="D13" s="33">
        <f>SUMIFS('INPUT Penjualan'!J8:J1004, 'INPUT Penjualan'!C8:C1004, A13, 'INPUT Penjualan'!A8:A1004, "&gt;="&amp;$G$5, 'INPUT Penjualan'!A8:A1004, "&lt;="&amp;$H$5)
</f>
        <v>400000</v>
      </c>
      <c r="E13" s="33">
        <f>SUMIFS('INPUT Penjualan'!K8:K1004, 'INPUT Penjualan'!C8:C1004, A13, 'INPUT Penjualan'!A8:A1004, "&gt;="&amp;$G$5, 'INPUT Penjualan'!A8:A1004, "&lt;="&amp;$H$5)
</f>
        <v>3600000</v>
      </c>
      <c r="F13" s="34">
        <f t="shared" si="1"/>
        <v>0.150816925</v>
      </c>
    </row>
    <row r="14">
      <c r="A14" s="35" t="s">
        <v>60</v>
      </c>
      <c r="B14" s="33">
        <f>SUMIFS('INPUT Penjualan'!H9:H1005, 'INPUT Penjualan'!C9:C1005, A14, 'INPUT Penjualan'!A9:A1005, "&gt;="&amp;$G$5, 'INPUT Penjualan'!A9:A1005, "&lt;="&amp;$H$5)
</f>
        <v>0</v>
      </c>
      <c r="C14" s="33">
        <f>SUMIFS('INPUT Penjualan'!I9:I1005, 'INPUT Penjualan'!C9:C1005, A14, 'INPUT Penjualan'!A9:A1005, "&gt;="&amp;$G$5, 'INPUT Penjualan'!A9:A1005, "&lt;="&amp;$H$5)
</f>
        <v>0</v>
      </c>
      <c r="D14" s="33">
        <f>SUMIFS('INPUT Penjualan'!J9:J1005, 'INPUT Penjualan'!C9:C1005, A14, 'INPUT Penjualan'!A9:A1005, "&gt;="&amp;$G$5, 'INPUT Penjualan'!A9:A1005, "&lt;="&amp;$H$5)
</f>
        <v>0</v>
      </c>
      <c r="E14" s="33">
        <f>SUMIFS('INPUT Penjualan'!K9:K1005, 'INPUT Penjualan'!C9:C1005, A14, 'INPUT Penjualan'!A9:A1005, "&gt;="&amp;$G$5, 'INPUT Penjualan'!A9:A1005, "&lt;="&amp;$H$5)
</f>
        <v>0</v>
      </c>
      <c r="F14" s="34">
        <f t="shared" si="1"/>
        <v>0</v>
      </c>
    </row>
    <row r="15">
      <c r="A15" s="39" t="s">
        <v>109</v>
      </c>
      <c r="B15" s="40">
        <f t="shared" ref="B15:E15" si="2">SUM(B9:B14)</f>
        <v>26000000</v>
      </c>
      <c r="C15" s="40">
        <f t="shared" si="2"/>
        <v>0</v>
      </c>
      <c r="D15" s="40">
        <f t="shared" si="2"/>
        <v>2130000</v>
      </c>
      <c r="E15" s="40">
        <f t="shared" si="2"/>
        <v>23870000</v>
      </c>
      <c r="F15" s="41"/>
    </row>
    <row r="17">
      <c r="A17" s="29" t="s">
        <v>116</v>
      </c>
    </row>
    <row r="18">
      <c r="A18" s="42" t="s">
        <v>117</v>
      </c>
      <c r="C18" s="42" t="s">
        <v>120</v>
      </c>
      <c r="E18" s="42" t="s">
        <v>123</v>
      </c>
      <c r="G18" s="42" t="s">
        <v>124</v>
      </c>
    </row>
    <row r="19">
      <c r="A19" s="42" t="s">
        <v>125</v>
      </c>
      <c r="C19" s="42" t="s">
        <v>126</v>
      </c>
      <c r="E19" s="42" t="s">
        <v>128</v>
      </c>
      <c r="G19" s="42" t="s">
        <v>129</v>
      </c>
    </row>
  </sheetData>
  <mergeCells count="12">
    <mergeCell ref="A18:B18"/>
    <mergeCell ref="A19:B19"/>
    <mergeCell ref="C19:D19"/>
    <mergeCell ref="E19:F19"/>
    <mergeCell ref="G19:H19"/>
    <mergeCell ref="A1:H1"/>
    <mergeCell ref="A2:H2"/>
    <mergeCell ref="A7:H7"/>
    <mergeCell ref="A17:H17"/>
    <mergeCell ref="C18:D18"/>
    <mergeCell ref="E18:F18"/>
    <mergeCell ref="G18:H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13"/>
  </cols>
  <sheetData>
    <row r="1">
      <c r="A1" s="2" t="s">
        <v>3</v>
      </c>
    </row>
    <row r="2">
      <c r="A2" s="9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2.63"/>
    <col customWidth="1" min="3" max="3" width="13.88"/>
    <col customWidth="1" min="4" max="4" width="22.63"/>
    <col customWidth="1" min="5" max="5" width="13.88"/>
    <col customWidth="1" min="6" max="6" width="12.63"/>
  </cols>
  <sheetData>
    <row r="1" ht="30.0" customHeight="1">
      <c r="A1" s="1" t="s">
        <v>2</v>
      </c>
    </row>
    <row r="2">
      <c r="A2" s="3" t="s">
        <v>4</v>
      </c>
    </row>
    <row r="3" ht="24.0" customHeight="1">
      <c r="A3" s="4" t="s">
        <v>6</v>
      </c>
      <c r="B3" s="4" t="s">
        <v>8</v>
      </c>
      <c r="C3" s="4" t="s">
        <v>10</v>
      </c>
      <c r="D3" s="4" t="s">
        <v>12</v>
      </c>
      <c r="E3" s="4" t="s">
        <v>14</v>
      </c>
      <c r="F3" s="4" t="s">
        <v>16</v>
      </c>
      <c r="G3" s="4" t="s">
        <v>17</v>
      </c>
      <c r="H3" s="4" t="s">
        <v>20</v>
      </c>
    </row>
    <row r="4">
      <c r="A4" s="5" t="s">
        <v>23</v>
      </c>
      <c r="B4" s="5" t="s">
        <v>26</v>
      </c>
      <c r="C4" s="5" t="s">
        <v>28</v>
      </c>
      <c r="D4" s="5" t="s">
        <v>29</v>
      </c>
      <c r="E4" s="5" t="s">
        <v>30</v>
      </c>
      <c r="F4" s="5" t="s">
        <v>31</v>
      </c>
      <c r="G4" s="8">
        <v>0.0</v>
      </c>
      <c r="H4" s="22">
        <f>IF(E4="DB", G4 + SUMIFS('INPUT Penjualan'!K$4:K$1000, 'INPUT Penjualan'!D$4:D$1000, A4) + SUMIFS('INPUT Pembelian &amp; Produksi'!I$4:I$1000, 'INPUT Pembelian &amp; Produksi'!K$4:K$1000, A4) + SUMIFS('INPUT Beban &amp; Kas Keluar'!F$4:F$1000, 'INPUT Beban &amp; Kas Keluar'!C$4:C$1000, A4) + SUMIFS('INPUT Jurnal Penyesuaian'!H$4:H$500, 'INPUT Jurnal Penyesuaian'!D$4:D$500, A4) - SUMIFS('INPUT Penjualan'!K$4:K$1000, 'INPUT Penjualan'!F$4:F$1000, A4) - SUMIFS('INPUT Pembelian &amp; Produksi'!I$4:I$1000, 'INPUT Pembelian &amp; Produksi'!M$4:M$1000, A4) - SUMIFS('INPUT Beban &amp; Kas Keluar'!F$4:F$1000, 'INPUT Beban &amp; Kas Keluar'!G$4:G$1000, B4) - SUMIFS('INPUT Jurnal Penyesuaian'!H$4:H$500, 'INPUT Jurnal Penyesuaian'!F$4:F$500, A4), G4 + SUMIFS('INPUT Penjualan'!K$4:K$1000, 'INPUT Penjualan'!F$4:F$1000, A4) + SUMIFS('INPUT Pembelian &amp; Produksi'!I$4:I$1000, 'INPUT Pembelian &amp; Produksi'!M$4:M$1000, A4) + SUMIFS('INPUT Jurnal Penyesuaian'!H$4:H$500, 'INPUT Jurnal Penyesuaian'!F$4:F$500, A4) - SUMIFS('INPUT Penjualan'!K$4:K$1000, 'INPUT Penjualan'!D$4:D$1000, A4) - SUMIFS('INPUT Pembelian &amp; Produksi'!I$4:I$1000, 'INPUT Pembelian &amp; Produksi'!K$4:K$1000, A4) - SUMIFS('INPUT Beban &amp; Kas Keluar'!F$4:F$1000, 'INPUT Beban &amp; Kas Keluar'!G$4:G$1000, B4) - SUMIFS('INPUT Jurnal Penyesuaian'!H$4:H$500, 'INPUT Jurnal Penyesuaian'!D$4:D$500, A4))
</f>
        <v>5000000</v>
      </c>
    </row>
    <row r="5">
      <c r="A5" s="5" t="s">
        <v>46</v>
      </c>
      <c r="B5" s="5" t="s">
        <v>49</v>
      </c>
      <c r="C5" s="5" t="s">
        <v>28</v>
      </c>
      <c r="D5" s="5" t="s">
        <v>29</v>
      </c>
      <c r="E5" s="5" t="s">
        <v>30</v>
      </c>
      <c r="F5" s="5" t="s">
        <v>31</v>
      </c>
      <c r="G5" s="8">
        <v>1.0E8</v>
      </c>
      <c r="H5" s="22">
        <f>IF(E5="DB", G5 + SUMIFS('INPUT Penjualan'!K$4:K$1000, 'INPUT Penjualan'!D$4:D$1000, A5) + SUMIFS('INPUT Pembelian &amp; Produksi'!I$4:I$1000, 'INPUT Pembelian &amp; Produksi'!K$4:K$1000, A5) + SUMIFS('INPUT Beban &amp; Kas Keluar'!F$4:F$1000, 'INPUT Beban &amp; Kas Keluar'!C$4:C$1000, A5) + SUMIFS('INPUT Jurnal Penyesuaian'!H$4:H$500, 'INPUT Jurnal Penyesuaian'!D$4:D$500, A5) - SUMIFS('INPUT Penjualan'!K$4:K$1000, 'INPUT Penjualan'!F$4:F$1000, A5) - SUMIFS('INPUT Pembelian &amp; Produksi'!I$4:I$1000, 'INPUT Pembelian &amp; Produksi'!M$4:M$1000, A5) - SUMIFS('INPUT Beban &amp; Kas Keluar'!F$4:F$1000, 'INPUT Beban &amp; Kas Keluar'!G$4:G$1000, B5) - SUMIFS('INPUT Jurnal Penyesuaian'!H$4:H$500, 'INPUT Jurnal Penyesuaian'!F$4:F$500, A5), G5 + SUMIFS('INPUT Penjualan'!K$4:K$1000, 'INPUT Penjualan'!F$4:F$1000, A5) + SUMIFS('INPUT Pembelian &amp; Produksi'!I$4:I$1000, 'INPUT Pembelian &amp; Produksi'!M$4:M$1000, A5) + SUMIFS('INPUT Jurnal Penyesuaian'!H$4:H$500, 'INPUT Jurnal Penyesuaian'!F$4:F$500, A5) - SUMIFS('INPUT Penjualan'!K$4:K$1000, 'INPUT Penjualan'!D$4:D$1000, A5) - SUMIFS('INPUT Pembelian &amp; Produksi'!I$4:I$1000, 'INPUT Pembelian &amp; Produksi'!K$4:K$1000, A5) - SUMIFS('INPUT Beban &amp; Kas Keluar'!F$4:F$1000, 'INPUT Beban &amp; Kas Keluar'!G$4:G$1000, B5) - SUMIFS('INPUT Jurnal Penyesuaian'!H$4:H$500, 'INPUT Jurnal Penyesuaian'!D$4:D$500, A5))
</f>
        <v>78840000</v>
      </c>
    </row>
    <row r="6">
      <c r="A6" s="5" t="s">
        <v>75</v>
      </c>
      <c r="B6" s="5" t="s">
        <v>76</v>
      </c>
      <c r="C6" s="5" t="s">
        <v>28</v>
      </c>
      <c r="D6" s="5" t="s">
        <v>29</v>
      </c>
      <c r="E6" s="5" t="s">
        <v>30</v>
      </c>
      <c r="F6" s="5" t="s">
        <v>31</v>
      </c>
      <c r="G6" s="8">
        <v>0.0</v>
      </c>
      <c r="H6" s="22">
        <f>IF(E6="DB", G6 + SUMIFS('INPUT Penjualan'!K$4:K$1000, 'INPUT Penjualan'!D$4:D$1000, A6) + SUMIFS('INPUT Pembelian &amp; Produksi'!I$4:I$1000, 'INPUT Pembelian &amp; Produksi'!K$4:K$1000, A6) + SUMIFS('INPUT Beban &amp; Kas Keluar'!F$4:F$1000, 'INPUT Beban &amp; Kas Keluar'!C$4:C$1000, A6) + SUMIFS('INPUT Jurnal Penyesuaian'!H$4:H$500, 'INPUT Jurnal Penyesuaian'!D$4:D$500, A6) - SUMIFS('INPUT Penjualan'!K$4:K$1000, 'INPUT Penjualan'!F$4:F$1000, A6) - SUMIFS('INPUT Pembelian &amp; Produksi'!I$4:I$1000, 'INPUT Pembelian &amp; Produksi'!M$4:M$1000, A6) - SUMIFS('INPUT Beban &amp; Kas Keluar'!F$4:F$1000, 'INPUT Beban &amp; Kas Keluar'!G$4:G$1000, B6) - SUMIFS('INPUT Jurnal Penyesuaian'!H$4:H$500, 'INPUT Jurnal Penyesuaian'!F$4:F$500, A6), G6 + SUMIFS('INPUT Penjualan'!K$4:K$1000, 'INPUT Penjualan'!F$4:F$1000, A6) + SUMIFS('INPUT Pembelian &amp; Produksi'!I$4:I$1000, 'INPUT Pembelian &amp; Produksi'!M$4:M$1000, A6) + SUMIFS('INPUT Jurnal Penyesuaian'!H$4:H$500, 'INPUT Jurnal Penyesuaian'!F$4:F$500, A6) - SUMIFS('INPUT Penjualan'!K$4:K$1000, 'INPUT Penjualan'!D$4:D$1000, A6) - SUMIFS('INPUT Pembelian &amp; Produksi'!I$4:I$1000, 'INPUT Pembelian &amp; Produksi'!K$4:K$1000, A6) - SUMIFS('INPUT Beban &amp; Kas Keluar'!F$4:F$1000, 'INPUT Beban &amp; Kas Keluar'!G$4:G$1000, B6) - SUMIFS('INPUT Jurnal Penyesuaian'!H$4:H$500, 'INPUT Jurnal Penyesuaian'!D$4:D$500, A6))
</f>
        <v>0</v>
      </c>
    </row>
    <row r="7">
      <c r="A7" s="5" t="s">
        <v>83</v>
      </c>
      <c r="B7" s="5" t="s">
        <v>84</v>
      </c>
      <c r="C7" s="5" t="s">
        <v>28</v>
      </c>
      <c r="D7" s="5" t="s">
        <v>29</v>
      </c>
      <c r="E7" s="5" t="s">
        <v>30</v>
      </c>
      <c r="F7" s="5" t="s">
        <v>31</v>
      </c>
      <c r="G7" s="8">
        <v>0.0</v>
      </c>
      <c r="H7" s="22">
        <f>IF(E7="DB", G7 + SUMIFS('INPUT Penjualan'!K$4:K$1000, 'INPUT Penjualan'!D$4:D$1000, A7) + SUMIFS('INPUT Pembelian &amp; Produksi'!I$4:I$1000, 'INPUT Pembelian &amp; Produksi'!K$4:K$1000, A7) + SUMIFS('INPUT Beban &amp; Kas Keluar'!F$4:F$1000, 'INPUT Beban &amp; Kas Keluar'!C$4:C$1000, A7) + SUMIFS('INPUT Jurnal Penyesuaian'!H$4:H$500, 'INPUT Jurnal Penyesuaian'!D$4:D$500, A7) - SUMIFS('INPUT Penjualan'!K$4:K$1000, 'INPUT Penjualan'!F$4:F$1000, A7) - SUMIFS('INPUT Pembelian &amp; Produksi'!I$4:I$1000, 'INPUT Pembelian &amp; Produksi'!M$4:M$1000, A7) - SUMIFS('INPUT Beban &amp; Kas Keluar'!F$4:F$1000, 'INPUT Beban &amp; Kas Keluar'!G$4:G$1000, B7) - SUMIFS('INPUT Jurnal Penyesuaian'!H$4:H$500, 'INPUT Jurnal Penyesuaian'!F$4:F$500, A7), G7 + SUMIFS('INPUT Penjualan'!K$4:K$1000, 'INPUT Penjualan'!F$4:F$1000, A7) + SUMIFS('INPUT Pembelian &amp; Produksi'!I$4:I$1000, 'INPUT Pembelian &amp; Produksi'!M$4:M$1000, A7) + SUMIFS('INPUT Jurnal Penyesuaian'!H$4:H$500, 'INPUT Jurnal Penyesuaian'!F$4:F$500, A7) - SUMIFS('INPUT Penjualan'!K$4:K$1000, 'INPUT Penjualan'!D$4:D$1000, A7) - SUMIFS('INPUT Pembelian &amp; Produksi'!I$4:I$1000, 'INPUT Pembelian &amp; Produksi'!K$4:K$1000, A7) - SUMIFS('INPUT Beban &amp; Kas Keluar'!F$4:F$1000, 'INPUT Beban &amp; Kas Keluar'!G$4:G$1000, B7) - SUMIFS('INPUT Jurnal Penyesuaian'!H$4:H$500, 'INPUT Jurnal Penyesuaian'!D$4:D$500, A7))
</f>
        <v>2980000</v>
      </c>
    </row>
    <row r="8">
      <c r="A8" s="5" t="s">
        <v>56</v>
      </c>
      <c r="B8" s="5" t="s">
        <v>85</v>
      </c>
      <c r="C8" s="5" t="s">
        <v>28</v>
      </c>
      <c r="D8" s="5" t="s">
        <v>86</v>
      </c>
      <c r="E8" s="5" t="s">
        <v>30</v>
      </c>
      <c r="F8" s="5" t="s">
        <v>31</v>
      </c>
      <c r="G8" s="8">
        <v>0.0</v>
      </c>
      <c r="H8" s="22">
        <f>IF(E8="DB", G8 + SUMIFS('INPUT Penjualan'!K$4:K$1000, 'INPUT Penjualan'!D$4:D$1000, A8) + SUMIFS('INPUT Pembelian &amp; Produksi'!I$4:I$1000, 'INPUT Pembelian &amp; Produksi'!K$4:K$1000, A8) + SUMIFS('INPUT Beban &amp; Kas Keluar'!F$4:F$1000, 'INPUT Beban &amp; Kas Keluar'!C$4:C$1000, A8) + SUMIFS('INPUT Jurnal Penyesuaian'!H$4:H$500, 'INPUT Jurnal Penyesuaian'!D$4:D$500, A8) - SUMIFS('INPUT Penjualan'!K$4:K$1000, 'INPUT Penjualan'!F$4:F$1000, A8) - SUMIFS('INPUT Pembelian &amp; Produksi'!I$4:I$1000, 'INPUT Pembelian &amp; Produksi'!M$4:M$1000, A8) - SUMIFS('INPUT Beban &amp; Kas Keluar'!F$4:F$1000, 'INPUT Beban &amp; Kas Keluar'!G$4:G$1000, B8) - SUMIFS('INPUT Jurnal Penyesuaian'!H$4:H$500, 'INPUT Jurnal Penyesuaian'!F$4:F$500, A8), G8 + SUMIFS('INPUT Penjualan'!K$4:K$1000, 'INPUT Penjualan'!F$4:F$1000, A8) + SUMIFS('INPUT Pembelian &amp; Produksi'!I$4:I$1000, 'INPUT Pembelian &amp; Produksi'!M$4:M$1000, A8) + SUMIFS('INPUT Jurnal Penyesuaian'!H$4:H$500, 'INPUT Jurnal Penyesuaian'!F$4:F$500, A8) - SUMIFS('INPUT Penjualan'!K$4:K$1000, 'INPUT Penjualan'!D$4:D$1000, A8) - SUMIFS('INPUT Pembelian &amp; Produksi'!I$4:I$1000, 'INPUT Pembelian &amp; Produksi'!K$4:K$1000, A8) - SUMIFS('INPUT Beban &amp; Kas Keluar'!F$4:F$1000, 'INPUT Beban &amp; Kas Keluar'!G$4:G$1000, B8) - SUMIFS('INPUT Jurnal Penyesuaian'!H$4:H$500, 'INPUT Jurnal Penyesuaian'!D$4:D$500, A8))
</f>
        <v>3500000</v>
      </c>
    </row>
    <row r="9">
      <c r="A9" s="5" t="s">
        <v>80</v>
      </c>
      <c r="B9" s="5" t="s">
        <v>108</v>
      </c>
      <c r="C9" s="5" t="s">
        <v>28</v>
      </c>
      <c r="D9" s="5" t="s">
        <v>86</v>
      </c>
      <c r="E9" s="5" t="s">
        <v>30</v>
      </c>
      <c r="F9" s="5" t="s">
        <v>31</v>
      </c>
      <c r="G9" s="8">
        <v>0.0</v>
      </c>
      <c r="H9" s="22">
        <f>IF(E9="DB", G9 + SUMIFS('INPUT Penjualan'!K$4:K$1000, 'INPUT Penjualan'!D$4:D$1000, A9) + SUMIFS('INPUT Pembelian &amp; Produksi'!I$4:I$1000, 'INPUT Pembelian &amp; Produksi'!K$4:K$1000, A9) + SUMIFS('INPUT Beban &amp; Kas Keluar'!F$4:F$1000, 'INPUT Beban &amp; Kas Keluar'!C$4:C$1000, A9) + SUMIFS('INPUT Jurnal Penyesuaian'!H$4:H$500, 'INPUT Jurnal Penyesuaian'!D$4:D$500, A9) - SUMIFS('INPUT Penjualan'!K$4:K$1000, 'INPUT Penjualan'!F$4:F$1000, A9) - SUMIFS('INPUT Pembelian &amp; Produksi'!I$4:I$1000, 'INPUT Pembelian &amp; Produksi'!M$4:M$1000, A9) - SUMIFS('INPUT Beban &amp; Kas Keluar'!F$4:F$1000, 'INPUT Beban &amp; Kas Keluar'!G$4:G$1000, B9) - SUMIFS('INPUT Jurnal Penyesuaian'!H$4:H$500, 'INPUT Jurnal Penyesuaian'!F$4:F$500, A9), G9 + SUMIFS('INPUT Penjualan'!K$4:K$1000, 'INPUT Penjualan'!F$4:F$1000, A9) + SUMIFS('INPUT Pembelian &amp; Produksi'!I$4:I$1000, 'INPUT Pembelian &amp; Produksi'!M$4:M$1000, A9) + SUMIFS('INPUT Jurnal Penyesuaian'!H$4:H$500, 'INPUT Jurnal Penyesuaian'!F$4:F$500, A9) - SUMIFS('INPUT Penjualan'!K$4:K$1000, 'INPUT Penjualan'!D$4:D$1000, A9) - SUMIFS('INPUT Pembelian &amp; Produksi'!I$4:I$1000, 'INPUT Pembelian &amp; Produksi'!K$4:K$1000, A9) - SUMIFS('INPUT Beban &amp; Kas Keluar'!F$4:F$1000, 'INPUT Beban &amp; Kas Keluar'!G$4:G$1000, B9) - SUMIFS('INPUT Jurnal Penyesuaian'!H$4:H$500, 'INPUT Jurnal Penyesuaian'!D$4:D$500, A9))
</f>
        <v>1800000</v>
      </c>
    </row>
    <row r="10">
      <c r="A10" s="5" t="s">
        <v>73</v>
      </c>
      <c r="B10" s="5" t="s">
        <v>136</v>
      </c>
      <c r="C10" s="5" t="s">
        <v>28</v>
      </c>
      <c r="D10" s="5" t="s">
        <v>86</v>
      </c>
      <c r="E10" s="5" t="s">
        <v>30</v>
      </c>
      <c r="F10" s="5" t="s">
        <v>31</v>
      </c>
      <c r="G10" s="8">
        <v>0.0</v>
      </c>
      <c r="H10" s="22">
        <f>IF(E10="DB", G10 + SUMIFS('INPUT Penjualan'!K$4:K$1000, 'INPUT Penjualan'!D$4:D$1000, A10) + SUMIFS('INPUT Pembelian &amp; Produksi'!I$4:I$1000, 'INPUT Pembelian &amp; Produksi'!K$4:K$1000, A10) + SUMIFS('INPUT Beban &amp; Kas Keluar'!F$4:F$1000, 'INPUT Beban &amp; Kas Keluar'!C$4:C$1000, A10) + SUMIFS('INPUT Jurnal Penyesuaian'!H$4:H$500, 'INPUT Jurnal Penyesuaian'!D$4:D$500, A10) - SUMIFS('INPUT Penjualan'!K$4:K$1000, 'INPUT Penjualan'!F$4:F$1000, A10) - SUMIFS('INPUT Pembelian &amp; Produksi'!I$4:I$1000, 'INPUT Pembelian &amp; Produksi'!M$4:M$1000, A10) - SUMIFS('INPUT Beban &amp; Kas Keluar'!F$4:F$1000, 'INPUT Beban &amp; Kas Keluar'!G$4:G$1000, B10) - SUMIFS('INPUT Jurnal Penyesuaian'!H$4:H$500, 'INPUT Jurnal Penyesuaian'!F$4:F$500, A10), G10 + SUMIFS('INPUT Penjualan'!K$4:K$1000, 'INPUT Penjualan'!F$4:F$1000, A10) + SUMIFS('INPUT Pembelian &amp; Produksi'!I$4:I$1000, 'INPUT Pembelian &amp; Produksi'!M$4:M$1000, A10) + SUMIFS('INPUT Jurnal Penyesuaian'!H$4:H$500, 'INPUT Jurnal Penyesuaian'!F$4:F$500, A10) - SUMIFS('INPUT Penjualan'!K$4:K$1000, 'INPUT Penjualan'!D$4:D$1000, A10) - SUMIFS('INPUT Pembelian &amp; Produksi'!I$4:I$1000, 'INPUT Pembelian &amp; Produksi'!K$4:K$1000, A10) - SUMIFS('INPUT Beban &amp; Kas Keluar'!F$4:F$1000, 'INPUT Beban &amp; Kas Keluar'!G$4:G$1000, B10) - SUMIFS('INPUT Jurnal Penyesuaian'!H$4:H$500, 'INPUT Jurnal Penyesuaian'!D$4:D$500, A10))
</f>
        <v>3600000</v>
      </c>
    </row>
    <row r="11">
      <c r="A11" s="5" t="s">
        <v>61</v>
      </c>
      <c r="B11" s="5" t="s">
        <v>137</v>
      </c>
      <c r="C11" s="5" t="s">
        <v>28</v>
      </c>
      <c r="D11" s="5" t="s">
        <v>86</v>
      </c>
      <c r="E11" s="5" t="s">
        <v>30</v>
      </c>
      <c r="F11" s="5" t="s">
        <v>31</v>
      </c>
      <c r="G11" s="8">
        <v>0.0</v>
      </c>
      <c r="H11" s="22">
        <f>IF(E11="DB", G11 + SUMIFS('INPUT Penjualan'!K$4:K$1000, 'INPUT Penjualan'!D$4:D$1000, A11) + SUMIFS('INPUT Pembelian &amp; Produksi'!I$4:I$1000, 'INPUT Pembelian &amp; Produksi'!K$4:K$1000, A11) + SUMIFS('INPUT Beban &amp; Kas Keluar'!F$4:F$1000, 'INPUT Beban &amp; Kas Keluar'!C$4:C$1000, A11) + SUMIFS('INPUT Jurnal Penyesuaian'!H$4:H$500, 'INPUT Jurnal Penyesuaian'!D$4:D$500, A11) - SUMIFS('INPUT Penjualan'!K$4:K$1000, 'INPUT Penjualan'!F$4:F$1000, A11) - SUMIFS('INPUT Pembelian &amp; Produksi'!I$4:I$1000, 'INPUT Pembelian &amp; Produksi'!M$4:M$1000, A11) - SUMIFS('INPUT Beban &amp; Kas Keluar'!F$4:F$1000, 'INPUT Beban &amp; Kas Keluar'!G$4:G$1000, B11) - SUMIFS('INPUT Jurnal Penyesuaian'!H$4:H$500, 'INPUT Jurnal Penyesuaian'!F$4:F$500, A11), G11 + SUMIFS('INPUT Penjualan'!K$4:K$1000, 'INPUT Penjualan'!F$4:F$1000, A11) + SUMIFS('INPUT Pembelian &amp; Produksi'!I$4:I$1000, 'INPUT Pembelian &amp; Produksi'!M$4:M$1000, A11) + SUMIFS('INPUT Jurnal Penyesuaian'!H$4:H$500, 'INPUT Jurnal Penyesuaian'!F$4:F$500, A11) - SUMIFS('INPUT Penjualan'!K$4:K$1000, 'INPUT Penjualan'!D$4:D$1000, A11) - SUMIFS('INPUT Pembelian &amp; Produksi'!I$4:I$1000, 'INPUT Pembelian &amp; Produksi'!K$4:K$1000, A11) - SUMIFS('INPUT Beban &amp; Kas Keluar'!F$4:F$1000, 'INPUT Beban &amp; Kas Keluar'!G$4:G$1000, B11) - SUMIFS('INPUT Jurnal Penyesuaian'!H$4:H$500, 'INPUT Jurnal Penyesuaian'!D$4:D$500, A11))
</f>
        <v>6800000</v>
      </c>
    </row>
    <row r="12">
      <c r="A12" s="5" t="s">
        <v>51</v>
      </c>
      <c r="B12" s="5" t="s">
        <v>138</v>
      </c>
      <c r="C12" s="5" t="s">
        <v>28</v>
      </c>
      <c r="D12" s="5" t="s">
        <v>86</v>
      </c>
      <c r="E12" s="5" t="s">
        <v>30</v>
      </c>
      <c r="F12" s="5" t="s">
        <v>31</v>
      </c>
      <c r="G12" s="8">
        <v>0.0</v>
      </c>
      <c r="H12" s="22">
        <f>IF(E12="DB", G12 + SUMIFS('INPUT Penjualan'!K$4:K$1000, 'INPUT Penjualan'!D$4:D$1000, A12) + SUMIFS('INPUT Pembelian &amp; Produksi'!I$4:I$1000, 'INPUT Pembelian &amp; Produksi'!K$4:K$1000, A12) + SUMIFS('INPUT Beban &amp; Kas Keluar'!F$4:F$1000, 'INPUT Beban &amp; Kas Keluar'!C$4:C$1000, A12) + SUMIFS('INPUT Jurnal Penyesuaian'!H$4:H$500, 'INPUT Jurnal Penyesuaian'!D$4:D$500, A12) - SUMIFS('INPUT Penjualan'!K$4:K$1000, 'INPUT Penjualan'!F$4:F$1000, A12) - SUMIFS('INPUT Pembelian &amp; Produksi'!I$4:I$1000, 'INPUT Pembelian &amp; Produksi'!M$4:M$1000, A12) - SUMIFS('INPUT Beban &amp; Kas Keluar'!F$4:F$1000, 'INPUT Beban &amp; Kas Keluar'!G$4:G$1000, B12) - SUMIFS('INPUT Jurnal Penyesuaian'!H$4:H$500, 'INPUT Jurnal Penyesuaian'!F$4:F$500, A12), G12 + SUMIFS('INPUT Penjualan'!K$4:K$1000, 'INPUT Penjualan'!F$4:F$1000, A12) + SUMIFS('INPUT Pembelian &amp; Produksi'!I$4:I$1000, 'INPUT Pembelian &amp; Produksi'!M$4:M$1000, A12) + SUMIFS('INPUT Jurnal Penyesuaian'!H$4:H$500, 'INPUT Jurnal Penyesuaian'!F$4:F$500, A12) - SUMIFS('INPUT Penjualan'!K$4:K$1000, 'INPUT Penjualan'!D$4:D$1000, A12) - SUMIFS('INPUT Pembelian &amp; Produksi'!I$4:I$1000, 'INPUT Pembelian &amp; Produksi'!K$4:K$1000, A12) - SUMIFS('INPUT Beban &amp; Kas Keluar'!F$4:F$1000, 'INPUT Beban &amp; Kas Keluar'!G$4:G$1000, B12) - SUMIFS('INPUT Jurnal Penyesuaian'!H$4:H$500, 'INPUT Jurnal Penyesuaian'!D$4:D$500, A12))
</f>
        <v>0</v>
      </c>
    </row>
    <row r="13">
      <c r="A13" s="5" t="s">
        <v>139</v>
      </c>
      <c r="B13" s="5" t="s">
        <v>140</v>
      </c>
      <c r="C13" s="5" t="s">
        <v>28</v>
      </c>
      <c r="D13" s="5" t="s">
        <v>86</v>
      </c>
      <c r="E13" s="5" t="s">
        <v>30</v>
      </c>
      <c r="F13" s="5" t="s">
        <v>31</v>
      </c>
      <c r="G13" s="8">
        <v>0.0</v>
      </c>
      <c r="H13" s="22">
        <f>IF(E13="DB", G13 + SUMIFS('INPUT Penjualan'!K$4:K$1000, 'INPUT Penjualan'!D$4:D$1000, A13) + SUMIFS('INPUT Pembelian &amp; Produksi'!I$4:I$1000, 'INPUT Pembelian &amp; Produksi'!K$4:K$1000, A13) + SUMIFS('INPUT Beban &amp; Kas Keluar'!F$4:F$1000, 'INPUT Beban &amp; Kas Keluar'!C$4:C$1000, A13) + SUMIFS('INPUT Jurnal Penyesuaian'!H$4:H$500, 'INPUT Jurnal Penyesuaian'!D$4:D$500, A13) - SUMIFS('INPUT Penjualan'!K$4:K$1000, 'INPUT Penjualan'!F$4:F$1000, A13) - SUMIFS('INPUT Pembelian &amp; Produksi'!I$4:I$1000, 'INPUT Pembelian &amp; Produksi'!M$4:M$1000, A13) - SUMIFS('INPUT Beban &amp; Kas Keluar'!F$4:F$1000, 'INPUT Beban &amp; Kas Keluar'!G$4:G$1000, B13) - SUMIFS('INPUT Jurnal Penyesuaian'!H$4:H$500, 'INPUT Jurnal Penyesuaian'!F$4:F$500, A13), G13 + SUMIFS('INPUT Penjualan'!K$4:K$1000, 'INPUT Penjualan'!F$4:F$1000, A13) + SUMIFS('INPUT Pembelian &amp; Produksi'!I$4:I$1000, 'INPUT Pembelian &amp; Produksi'!M$4:M$1000, A13) + SUMIFS('INPUT Jurnal Penyesuaian'!H$4:H$500, 'INPUT Jurnal Penyesuaian'!F$4:F$500, A13) - SUMIFS('INPUT Penjualan'!K$4:K$1000, 'INPUT Penjualan'!D$4:D$1000, A13) - SUMIFS('INPUT Pembelian &amp; Produksi'!I$4:I$1000, 'INPUT Pembelian &amp; Produksi'!K$4:K$1000, A13) - SUMIFS('INPUT Beban &amp; Kas Keluar'!F$4:F$1000, 'INPUT Beban &amp; Kas Keluar'!G$4:G$1000, B13) - SUMIFS('INPUT Jurnal Penyesuaian'!H$4:H$500, 'INPUT Jurnal Penyesuaian'!D$4:D$500, A13))
</f>
        <v>0</v>
      </c>
    </row>
    <row r="14">
      <c r="A14" s="5" t="s">
        <v>143</v>
      </c>
      <c r="B14" s="5" t="s">
        <v>144</v>
      </c>
      <c r="C14" s="5" t="s">
        <v>28</v>
      </c>
      <c r="D14" s="5" t="s">
        <v>145</v>
      </c>
      <c r="E14" s="5" t="s">
        <v>30</v>
      </c>
      <c r="F14" s="5" t="s">
        <v>31</v>
      </c>
      <c r="G14" s="8">
        <v>2.0E7</v>
      </c>
      <c r="H14" s="22">
        <f>IF(E14="DB", G14 + SUMIFS('INPUT Penjualan'!K$4:K$1000, 'INPUT Penjualan'!D$4:D$1000, A14) + SUMIFS('INPUT Pembelian &amp; Produksi'!I$4:I$1000, 'INPUT Pembelian &amp; Produksi'!K$4:K$1000, A14) + SUMIFS('INPUT Beban &amp; Kas Keluar'!F$4:F$1000, 'INPUT Beban &amp; Kas Keluar'!C$4:C$1000, A14) + SUMIFS('INPUT Jurnal Penyesuaian'!H$4:H$500, 'INPUT Jurnal Penyesuaian'!D$4:D$500, A14) - SUMIFS('INPUT Penjualan'!K$4:K$1000, 'INPUT Penjualan'!F$4:F$1000, A14) - SUMIFS('INPUT Pembelian &amp; Produksi'!I$4:I$1000, 'INPUT Pembelian &amp; Produksi'!M$4:M$1000, A14) - SUMIFS('INPUT Beban &amp; Kas Keluar'!F$4:F$1000, 'INPUT Beban &amp; Kas Keluar'!G$4:G$1000, B14) - SUMIFS('INPUT Jurnal Penyesuaian'!H$4:H$500, 'INPUT Jurnal Penyesuaian'!F$4:F$500, A14), G14 + SUMIFS('INPUT Penjualan'!K$4:K$1000, 'INPUT Penjualan'!F$4:F$1000, A14) + SUMIFS('INPUT Pembelian &amp; Produksi'!I$4:I$1000, 'INPUT Pembelian &amp; Produksi'!M$4:M$1000, A14) + SUMIFS('INPUT Jurnal Penyesuaian'!H$4:H$500, 'INPUT Jurnal Penyesuaian'!F$4:F$500, A14) - SUMIFS('INPUT Penjualan'!K$4:K$1000, 'INPUT Penjualan'!D$4:D$1000, A14) - SUMIFS('INPUT Pembelian &amp; Produksi'!I$4:I$1000, 'INPUT Pembelian &amp; Produksi'!K$4:K$1000, A14) - SUMIFS('INPUT Beban &amp; Kas Keluar'!F$4:F$1000, 'INPUT Beban &amp; Kas Keluar'!G$4:G$1000, B14) - SUMIFS('INPUT Jurnal Penyesuaian'!H$4:H$500, 'INPUT Jurnal Penyesuaian'!D$4:D$500, A14))
</f>
        <v>20000000</v>
      </c>
    </row>
    <row r="15">
      <c r="A15" s="5" t="s">
        <v>155</v>
      </c>
      <c r="B15" s="5" t="s">
        <v>156</v>
      </c>
      <c r="C15" s="5" t="s">
        <v>28</v>
      </c>
      <c r="D15" s="5" t="s">
        <v>145</v>
      </c>
      <c r="E15" s="5" t="s">
        <v>30</v>
      </c>
      <c r="F15" s="5" t="s">
        <v>31</v>
      </c>
      <c r="G15" s="8">
        <v>0.0</v>
      </c>
      <c r="H15" s="22">
        <f>IF(E15="DB", G15 + SUMIFS('INPUT Penjualan'!K$4:K$1000, 'INPUT Penjualan'!D$4:D$1000, A15) + SUMIFS('INPUT Pembelian &amp; Produksi'!I$4:I$1000, 'INPUT Pembelian &amp; Produksi'!K$4:K$1000, A15) + SUMIFS('INPUT Beban &amp; Kas Keluar'!F$4:F$1000, 'INPUT Beban &amp; Kas Keluar'!C$4:C$1000, A15) + SUMIFS('INPUT Jurnal Penyesuaian'!H$4:H$500, 'INPUT Jurnal Penyesuaian'!D$4:D$500, A15) - SUMIFS('INPUT Penjualan'!K$4:K$1000, 'INPUT Penjualan'!F$4:F$1000, A15) - SUMIFS('INPUT Pembelian &amp; Produksi'!I$4:I$1000, 'INPUT Pembelian &amp; Produksi'!M$4:M$1000, A15) - SUMIFS('INPUT Beban &amp; Kas Keluar'!F$4:F$1000, 'INPUT Beban &amp; Kas Keluar'!G$4:G$1000, B15) - SUMIFS('INPUT Jurnal Penyesuaian'!H$4:H$500, 'INPUT Jurnal Penyesuaian'!F$4:F$500, A15), G15 + SUMIFS('INPUT Penjualan'!K$4:K$1000, 'INPUT Penjualan'!F$4:F$1000, A15) + SUMIFS('INPUT Pembelian &amp; Produksi'!I$4:I$1000, 'INPUT Pembelian &amp; Produksi'!M$4:M$1000, A15) + SUMIFS('INPUT Jurnal Penyesuaian'!H$4:H$500, 'INPUT Jurnal Penyesuaian'!F$4:F$500, A15) - SUMIFS('INPUT Penjualan'!K$4:K$1000, 'INPUT Penjualan'!D$4:D$1000, A15) - SUMIFS('INPUT Pembelian &amp; Produksi'!I$4:I$1000, 'INPUT Pembelian &amp; Produksi'!K$4:K$1000, A15) - SUMIFS('INPUT Beban &amp; Kas Keluar'!F$4:F$1000, 'INPUT Beban &amp; Kas Keluar'!G$4:G$1000, B15) - SUMIFS('INPUT Jurnal Penyesuaian'!H$4:H$500, 'INPUT Jurnal Penyesuaian'!D$4:D$500, A15))
</f>
        <v>0</v>
      </c>
    </row>
    <row r="16">
      <c r="A16" s="5" t="s">
        <v>165</v>
      </c>
      <c r="B16" s="5" t="s">
        <v>166</v>
      </c>
      <c r="C16" s="5" t="s">
        <v>28</v>
      </c>
      <c r="D16" s="5" t="s">
        <v>145</v>
      </c>
      <c r="E16" s="5" t="s">
        <v>30</v>
      </c>
      <c r="F16" s="5" t="s">
        <v>31</v>
      </c>
      <c r="G16" s="8">
        <v>0.0</v>
      </c>
      <c r="H16" s="22">
        <f>IF(E16="DB", G16 + SUMIFS('INPUT Penjualan'!K$4:K$1000, 'INPUT Penjualan'!D$4:D$1000, A16) + SUMIFS('INPUT Pembelian &amp; Produksi'!I$4:I$1000, 'INPUT Pembelian &amp; Produksi'!K$4:K$1000, A16) + SUMIFS('INPUT Beban &amp; Kas Keluar'!F$4:F$1000, 'INPUT Beban &amp; Kas Keluar'!C$4:C$1000, A16) + SUMIFS('INPUT Jurnal Penyesuaian'!H$4:H$500, 'INPUT Jurnal Penyesuaian'!D$4:D$500, A16) - SUMIFS('INPUT Penjualan'!K$4:K$1000, 'INPUT Penjualan'!F$4:F$1000, A16) - SUMIFS('INPUT Pembelian &amp; Produksi'!I$4:I$1000, 'INPUT Pembelian &amp; Produksi'!M$4:M$1000, A16) - SUMIFS('INPUT Beban &amp; Kas Keluar'!F$4:F$1000, 'INPUT Beban &amp; Kas Keluar'!G$4:G$1000, B16) - SUMIFS('INPUT Jurnal Penyesuaian'!H$4:H$500, 'INPUT Jurnal Penyesuaian'!F$4:F$500, A16), G16 + SUMIFS('INPUT Penjualan'!K$4:K$1000, 'INPUT Penjualan'!F$4:F$1000, A16) + SUMIFS('INPUT Pembelian &amp; Produksi'!I$4:I$1000, 'INPUT Pembelian &amp; Produksi'!M$4:M$1000, A16) + SUMIFS('INPUT Jurnal Penyesuaian'!H$4:H$500, 'INPUT Jurnal Penyesuaian'!F$4:F$500, A16) - SUMIFS('INPUT Penjualan'!K$4:K$1000, 'INPUT Penjualan'!D$4:D$1000, A16) - SUMIFS('INPUT Pembelian &amp; Produksi'!I$4:I$1000, 'INPUT Pembelian &amp; Produksi'!K$4:K$1000, A16) - SUMIFS('INPUT Beban &amp; Kas Keluar'!F$4:F$1000, 'INPUT Beban &amp; Kas Keluar'!G$4:G$1000, B16) - SUMIFS('INPUT Jurnal Penyesuaian'!H$4:H$500, 'INPUT Jurnal Penyesuaian'!D$4:D$500, A16))
</f>
        <v>0</v>
      </c>
    </row>
    <row r="17">
      <c r="A17" s="5" t="s">
        <v>135</v>
      </c>
      <c r="B17" s="5" t="s">
        <v>180</v>
      </c>
      <c r="C17" s="5" t="s">
        <v>28</v>
      </c>
      <c r="D17" s="5" t="s">
        <v>181</v>
      </c>
      <c r="E17" s="5" t="s">
        <v>30</v>
      </c>
      <c r="F17" s="5" t="s">
        <v>31</v>
      </c>
      <c r="G17" s="8">
        <v>0.0</v>
      </c>
      <c r="H17" s="22">
        <f>IF(E17="DB", G17 + SUMIFS('INPUT Penjualan'!K$4:K$1000, 'INPUT Penjualan'!D$4:D$1000, A17) + SUMIFS('INPUT Pembelian &amp; Produksi'!I$4:I$1000, 'INPUT Pembelian &amp; Produksi'!K$4:K$1000, A17) + SUMIFS('INPUT Beban &amp; Kas Keluar'!F$4:F$1000, 'INPUT Beban &amp; Kas Keluar'!C$4:C$1000, A17) + SUMIFS('INPUT Jurnal Penyesuaian'!H$4:H$500, 'INPUT Jurnal Penyesuaian'!D$4:D$500, A17) - SUMIFS('INPUT Penjualan'!K$4:K$1000, 'INPUT Penjualan'!F$4:F$1000, A17) - SUMIFS('INPUT Pembelian &amp; Produksi'!I$4:I$1000, 'INPUT Pembelian &amp; Produksi'!M$4:M$1000, A17) - SUMIFS('INPUT Beban &amp; Kas Keluar'!F$4:F$1000, 'INPUT Beban &amp; Kas Keluar'!G$4:G$1000, B17) - SUMIFS('INPUT Jurnal Penyesuaian'!H$4:H$500, 'INPUT Jurnal Penyesuaian'!F$4:F$500, A17), G17 + SUMIFS('INPUT Penjualan'!K$4:K$1000, 'INPUT Penjualan'!F$4:F$1000, A17) + SUMIFS('INPUT Pembelian &amp; Produksi'!I$4:I$1000, 'INPUT Pembelian &amp; Produksi'!M$4:M$1000, A17) + SUMIFS('INPUT Jurnal Penyesuaian'!H$4:H$500, 'INPUT Jurnal Penyesuaian'!F$4:F$500, A17) - SUMIFS('INPUT Penjualan'!K$4:K$1000, 'INPUT Penjualan'!D$4:D$1000, A17) - SUMIFS('INPUT Pembelian &amp; Produksi'!I$4:I$1000, 'INPUT Pembelian &amp; Produksi'!K$4:K$1000, A17) - SUMIFS('INPUT Beban &amp; Kas Keluar'!F$4:F$1000, 'INPUT Beban &amp; Kas Keluar'!G$4:G$1000, B17) - SUMIFS('INPUT Jurnal Penyesuaian'!H$4:H$500, 'INPUT Jurnal Penyesuaian'!D$4:D$500, A17))
</f>
        <v>1000000</v>
      </c>
    </row>
    <row r="18">
      <c r="A18" s="5" t="s">
        <v>182</v>
      </c>
      <c r="B18" s="5" t="s">
        <v>183</v>
      </c>
      <c r="C18" s="5" t="s">
        <v>28</v>
      </c>
      <c r="D18" s="5" t="s">
        <v>181</v>
      </c>
      <c r="E18" s="5" t="s">
        <v>184</v>
      </c>
      <c r="F18" s="5" t="s">
        <v>31</v>
      </c>
      <c r="G18" s="8">
        <v>0.0</v>
      </c>
      <c r="H18" s="22">
        <f>IF(E18="DB", G18 + SUMIFS('INPUT Penjualan'!K$4:K$1000, 'INPUT Penjualan'!D$4:D$1000, A18) + SUMIFS('INPUT Pembelian &amp; Produksi'!I$4:I$1000, 'INPUT Pembelian &amp; Produksi'!K$4:K$1000, A18) + SUMIFS('INPUT Beban &amp; Kas Keluar'!F$4:F$1000, 'INPUT Beban &amp; Kas Keluar'!C$4:C$1000, A18) + SUMIFS('INPUT Jurnal Penyesuaian'!H$4:H$500, 'INPUT Jurnal Penyesuaian'!D$4:D$500, A18) - SUMIFS('INPUT Penjualan'!K$4:K$1000, 'INPUT Penjualan'!F$4:F$1000, A18) - SUMIFS('INPUT Pembelian &amp; Produksi'!I$4:I$1000, 'INPUT Pembelian &amp; Produksi'!M$4:M$1000, A18) - SUMIFS('INPUT Beban &amp; Kas Keluar'!F$4:F$1000, 'INPUT Beban &amp; Kas Keluar'!G$4:G$1000, B18) - SUMIFS('INPUT Jurnal Penyesuaian'!H$4:H$500, 'INPUT Jurnal Penyesuaian'!F$4:F$500, A18), G18 + SUMIFS('INPUT Penjualan'!K$4:K$1000, 'INPUT Penjualan'!F$4:F$1000, A18) + SUMIFS('INPUT Pembelian &amp; Produksi'!I$4:I$1000, 'INPUT Pembelian &amp; Produksi'!M$4:M$1000, A18) + SUMIFS('INPUT Jurnal Penyesuaian'!H$4:H$500, 'INPUT Jurnal Penyesuaian'!F$4:F$500, A18) - SUMIFS('INPUT Penjualan'!K$4:K$1000, 'INPUT Penjualan'!D$4:D$1000, A18) - SUMIFS('INPUT Pembelian &amp; Produksi'!I$4:I$1000, 'INPUT Pembelian &amp; Produksi'!K$4:K$1000, A18) - SUMIFS('INPUT Beban &amp; Kas Keluar'!F$4:F$1000, 'INPUT Beban &amp; Kas Keluar'!G$4:G$1000, B18) - SUMIFS('INPUT Jurnal Penyesuaian'!H$4:H$500, 'INPUT Jurnal Penyesuaian'!D$4:D$500, A18))
</f>
        <v>200000</v>
      </c>
    </row>
    <row r="19">
      <c r="A19" s="5" t="s">
        <v>185</v>
      </c>
      <c r="B19" s="5" t="s">
        <v>186</v>
      </c>
      <c r="C19" s="5" t="s">
        <v>28</v>
      </c>
      <c r="D19" s="5" t="s">
        <v>181</v>
      </c>
      <c r="E19" s="5" t="s">
        <v>30</v>
      </c>
      <c r="F19" s="5" t="s">
        <v>31</v>
      </c>
      <c r="G19" s="8">
        <v>0.0</v>
      </c>
      <c r="H19" s="22">
        <f>IF(E19="DB", G19 + SUMIFS('INPUT Penjualan'!K$4:K$1000, 'INPUT Penjualan'!D$4:D$1000, A19) + SUMIFS('INPUT Pembelian &amp; Produksi'!I$4:I$1000, 'INPUT Pembelian &amp; Produksi'!K$4:K$1000, A19) + SUMIFS('INPUT Beban &amp; Kas Keluar'!F$4:F$1000, 'INPUT Beban &amp; Kas Keluar'!C$4:C$1000, A19) + SUMIFS('INPUT Jurnal Penyesuaian'!H$4:H$500, 'INPUT Jurnal Penyesuaian'!D$4:D$500, A19) - SUMIFS('INPUT Penjualan'!K$4:K$1000, 'INPUT Penjualan'!F$4:F$1000, A19) - SUMIFS('INPUT Pembelian &amp; Produksi'!I$4:I$1000, 'INPUT Pembelian &amp; Produksi'!M$4:M$1000, A19) - SUMIFS('INPUT Beban &amp; Kas Keluar'!F$4:F$1000, 'INPUT Beban &amp; Kas Keluar'!G$4:G$1000, B19) - SUMIFS('INPUT Jurnal Penyesuaian'!H$4:H$500, 'INPUT Jurnal Penyesuaian'!F$4:F$500, A19), G19 + SUMIFS('INPUT Penjualan'!K$4:K$1000, 'INPUT Penjualan'!F$4:F$1000, A19) + SUMIFS('INPUT Pembelian &amp; Produksi'!I$4:I$1000, 'INPUT Pembelian &amp; Produksi'!M$4:M$1000, A19) + SUMIFS('INPUT Jurnal Penyesuaian'!H$4:H$500, 'INPUT Jurnal Penyesuaian'!F$4:F$500, A19) - SUMIFS('INPUT Penjualan'!K$4:K$1000, 'INPUT Penjualan'!D$4:D$1000, A19) - SUMIFS('INPUT Pembelian &amp; Produksi'!I$4:I$1000, 'INPUT Pembelian &amp; Produksi'!K$4:K$1000, A19) - SUMIFS('INPUT Beban &amp; Kas Keluar'!F$4:F$1000, 'INPUT Beban &amp; Kas Keluar'!G$4:G$1000, B19) - SUMIFS('INPUT Jurnal Penyesuaian'!H$4:H$500, 'INPUT Jurnal Penyesuaian'!D$4:D$500, A19))
</f>
        <v>0</v>
      </c>
    </row>
    <row r="20">
      <c r="A20" s="5" t="s">
        <v>187</v>
      </c>
      <c r="B20" s="5" t="s">
        <v>188</v>
      </c>
      <c r="C20" s="5" t="s">
        <v>28</v>
      </c>
      <c r="D20" s="5" t="s">
        <v>181</v>
      </c>
      <c r="E20" s="5" t="s">
        <v>184</v>
      </c>
      <c r="F20" s="5" t="s">
        <v>31</v>
      </c>
      <c r="G20" s="8">
        <v>0.0</v>
      </c>
      <c r="H20" s="22">
        <f>IF(E20="DB", G20 + SUMIFS('INPUT Penjualan'!K$4:K$1000, 'INPUT Penjualan'!D$4:D$1000, A20) + SUMIFS('INPUT Pembelian &amp; Produksi'!I$4:I$1000, 'INPUT Pembelian &amp; Produksi'!K$4:K$1000, A20) + SUMIFS('INPUT Beban &amp; Kas Keluar'!F$4:F$1000, 'INPUT Beban &amp; Kas Keluar'!C$4:C$1000, A20) + SUMIFS('INPUT Jurnal Penyesuaian'!H$4:H$500, 'INPUT Jurnal Penyesuaian'!D$4:D$500, A20) - SUMIFS('INPUT Penjualan'!K$4:K$1000, 'INPUT Penjualan'!F$4:F$1000, A20) - SUMIFS('INPUT Pembelian &amp; Produksi'!I$4:I$1000, 'INPUT Pembelian &amp; Produksi'!M$4:M$1000, A20) - SUMIFS('INPUT Beban &amp; Kas Keluar'!F$4:F$1000, 'INPUT Beban &amp; Kas Keluar'!G$4:G$1000, B20) - SUMIFS('INPUT Jurnal Penyesuaian'!H$4:H$500, 'INPUT Jurnal Penyesuaian'!F$4:F$500, A20), G20 + SUMIFS('INPUT Penjualan'!K$4:K$1000, 'INPUT Penjualan'!F$4:F$1000, A20) + SUMIFS('INPUT Pembelian &amp; Produksi'!I$4:I$1000, 'INPUT Pembelian &amp; Produksi'!M$4:M$1000, A20) + SUMIFS('INPUT Jurnal Penyesuaian'!H$4:H$500, 'INPUT Jurnal Penyesuaian'!F$4:F$500, A20) - SUMIFS('INPUT Penjualan'!K$4:K$1000, 'INPUT Penjualan'!D$4:D$1000, A20) - SUMIFS('INPUT Pembelian &amp; Produksi'!I$4:I$1000, 'INPUT Pembelian &amp; Produksi'!K$4:K$1000, A20) - SUMIFS('INPUT Beban &amp; Kas Keluar'!F$4:F$1000, 'INPUT Beban &amp; Kas Keluar'!G$4:G$1000, B20) - SUMIFS('INPUT Jurnal Penyesuaian'!H$4:H$500, 'INPUT Jurnal Penyesuaian'!D$4:D$500, A20))
</f>
        <v>0</v>
      </c>
    </row>
    <row r="21">
      <c r="A21" s="44" t="s">
        <v>189</v>
      </c>
      <c r="B21" s="44" t="s">
        <v>190</v>
      </c>
      <c r="C21" s="44" t="s">
        <v>191</v>
      </c>
      <c r="D21" s="44" t="s">
        <v>192</v>
      </c>
      <c r="E21" s="44" t="s">
        <v>184</v>
      </c>
      <c r="F21" s="44" t="s">
        <v>31</v>
      </c>
      <c r="G21" s="8">
        <v>0.0</v>
      </c>
      <c r="H21" s="22">
        <f>IF(E21="DB", G21 + SUMIFS('INPUT Penjualan'!K$4:K$1000, 'INPUT Penjualan'!D$4:D$1000, A21) + SUMIFS('INPUT Pembelian &amp; Produksi'!I$4:I$1000, 'INPUT Pembelian &amp; Produksi'!K$4:K$1000, A21) + SUMIFS('INPUT Beban &amp; Kas Keluar'!F$4:F$1000, 'INPUT Beban &amp; Kas Keluar'!C$4:C$1000, A21) + SUMIFS('INPUT Jurnal Penyesuaian'!H$4:H$500, 'INPUT Jurnal Penyesuaian'!D$4:D$500, A21) - SUMIFS('INPUT Penjualan'!K$4:K$1000, 'INPUT Penjualan'!F$4:F$1000, A21) - SUMIFS('INPUT Pembelian &amp; Produksi'!I$4:I$1000, 'INPUT Pembelian &amp; Produksi'!M$4:M$1000, A21) - SUMIFS('INPUT Beban &amp; Kas Keluar'!F$4:F$1000, 'INPUT Beban &amp; Kas Keluar'!G$4:G$1000, B21) - SUMIFS('INPUT Jurnal Penyesuaian'!H$4:H$500, 'INPUT Jurnal Penyesuaian'!F$4:F$500, A21), G21 + SUMIFS('INPUT Penjualan'!K$4:K$1000, 'INPUT Penjualan'!F$4:F$1000, A21) + SUMIFS('INPUT Pembelian &amp; Produksi'!I$4:I$1000, 'INPUT Pembelian &amp; Produksi'!M$4:M$1000, A21) + SUMIFS('INPUT Jurnal Penyesuaian'!H$4:H$500, 'INPUT Jurnal Penyesuaian'!F$4:F$500, A21) - SUMIFS('INPUT Penjualan'!K$4:K$1000, 'INPUT Penjualan'!D$4:D$1000, A21) - SUMIFS('INPUT Pembelian &amp; Produksi'!I$4:I$1000, 'INPUT Pembelian &amp; Produksi'!K$4:K$1000, A21) - SUMIFS('INPUT Beban &amp; Kas Keluar'!F$4:F$1000, 'INPUT Beban &amp; Kas Keluar'!G$4:G$1000, B21) - SUMIFS('INPUT Jurnal Penyesuaian'!H$4:H$500, 'INPUT Jurnal Penyesuaian'!D$4:D$500, A21))
</f>
        <v>0</v>
      </c>
    </row>
    <row r="22">
      <c r="A22" s="44" t="s">
        <v>193</v>
      </c>
      <c r="B22" s="44" t="s">
        <v>194</v>
      </c>
      <c r="C22" s="44" t="s">
        <v>191</v>
      </c>
      <c r="D22" s="44" t="s">
        <v>195</v>
      </c>
      <c r="E22" s="44" t="s">
        <v>184</v>
      </c>
      <c r="F22" s="44" t="s">
        <v>31</v>
      </c>
      <c r="G22" s="8">
        <v>0.0</v>
      </c>
      <c r="H22" s="22">
        <f>IF(E22="DB", G22 + SUMIFS('INPUT Penjualan'!K$4:K$1000, 'INPUT Penjualan'!D$4:D$1000, A22) + SUMIFS('INPUT Pembelian &amp; Produksi'!I$4:I$1000, 'INPUT Pembelian &amp; Produksi'!K$4:K$1000, A22) + SUMIFS('INPUT Beban &amp; Kas Keluar'!F$4:F$1000, 'INPUT Beban &amp; Kas Keluar'!C$4:C$1000, A22) + SUMIFS('INPUT Jurnal Penyesuaian'!H$4:H$500, 'INPUT Jurnal Penyesuaian'!D$4:D$500, A22) - SUMIFS('INPUT Penjualan'!K$4:K$1000, 'INPUT Penjualan'!F$4:F$1000, A22) - SUMIFS('INPUT Pembelian &amp; Produksi'!I$4:I$1000, 'INPUT Pembelian &amp; Produksi'!M$4:M$1000, A22) - SUMIFS('INPUT Beban &amp; Kas Keluar'!F$4:F$1000, 'INPUT Beban &amp; Kas Keluar'!G$4:G$1000, B22) - SUMIFS('INPUT Jurnal Penyesuaian'!H$4:H$500, 'INPUT Jurnal Penyesuaian'!F$4:F$500, A22), G22 + SUMIFS('INPUT Penjualan'!K$4:K$1000, 'INPUT Penjualan'!F$4:F$1000, A22) + SUMIFS('INPUT Pembelian &amp; Produksi'!I$4:I$1000, 'INPUT Pembelian &amp; Produksi'!M$4:M$1000, A22) + SUMIFS('INPUT Jurnal Penyesuaian'!H$4:H$500, 'INPUT Jurnal Penyesuaian'!F$4:F$500, A22) - SUMIFS('INPUT Penjualan'!K$4:K$1000, 'INPUT Penjualan'!D$4:D$1000, A22) - SUMIFS('INPUT Pembelian &amp; Produksi'!I$4:I$1000, 'INPUT Pembelian &amp; Produksi'!K$4:K$1000, A22) - SUMIFS('INPUT Beban &amp; Kas Keluar'!F$4:F$1000, 'INPUT Beban &amp; Kas Keluar'!G$4:G$1000, B22) - SUMIFS('INPUT Jurnal Penyesuaian'!H$4:H$500, 'INPUT Jurnal Penyesuaian'!D$4:D$500, A22))
</f>
        <v>0</v>
      </c>
    </row>
    <row r="23">
      <c r="A23" s="44" t="s">
        <v>196</v>
      </c>
      <c r="B23" s="44" t="s">
        <v>197</v>
      </c>
      <c r="C23" s="44" t="s">
        <v>191</v>
      </c>
      <c r="D23" s="44" t="s">
        <v>192</v>
      </c>
      <c r="E23" s="44" t="s">
        <v>184</v>
      </c>
      <c r="F23" s="44" t="s">
        <v>31</v>
      </c>
      <c r="G23" s="8">
        <v>0.0</v>
      </c>
      <c r="H23" s="22">
        <f>IF(E23="DB", G23 + SUMIFS('INPUT Penjualan'!K$4:K$1000, 'INPUT Penjualan'!D$4:D$1000, A23) + SUMIFS('INPUT Pembelian &amp; Produksi'!I$4:I$1000, 'INPUT Pembelian &amp; Produksi'!K$4:K$1000, A23) + SUMIFS('INPUT Beban &amp; Kas Keluar'!F$4:F$1000, 'INPUT Beban &amp; Kas Keluar'!C$4:C$1000, A23) + SUMIFS('INPUT Jurnal Penyesuaian'!H$4:H$500, 'INPUT Jurnal Penyesuaian'!D$4:D$500, A23) - SUMIFS('INPUT Penjualan'!K$4:K$1000, 'INPUT Penjualan'!F$4:F$1000, A23) - SUMIFS('INPUT Pembelian &amp; Produksi'!I$4:I$1000, 'INPUT Pembelian &amp; Produksi'!M$4:M$1000, A23) - SUMIFS('INPUT Beban &amp; Kas Keluar'!F$4:F$1000, 'INPUT Beban &amp; Kas Keluar'!G$4:G$1000, B23) - SUMIFS('INPUT Jurnal Penyesuaian'!H$4:H$500, 'INPUT Jurnal Penyesuaian'!F$4:F$500, A23), G23 + SUMIFS('INPUT Penjualan'!K$4:K$1000, 'INPUT Penjualan'!F$4:F$1000, A23) + SUMIFS('INPUT Pembelian &amp; Produksi'!I$4:I$1000, 'INPUT Pembelian &amp; Produksi'!M$4:M$1000, A23) + SUMIFS('INPUT Jurnal Penyesuaian'!H$4:H$500, 'INPUT Jurnal Penyesuaian'!F$4:F$500, A23) - SUMIFS('INPUT Penjualan'!K$4:K$1000, 'INPUT Penjualan'!D$4:D$1000, A23) - SUMIFS('INPUT Pembelian &amp; Produksi'!I$4:I$1000, 'INPUT Pembelian &amp; Produksi'!K$4:K$1000, A23) - SUMIFS('INPUT Beban &amp; Kas Keluar'!F$4:F$1000, 'INPUT Beban &amp; Kas Keluar'!G$4:G$1000, B23) - SUMIFS('INPUT Jurnal Penyesuaian'!H$4:H$500, 'INPUT Jurnal Penyesuaian'!D$4:D$500, A23))
</f>
        <v>0</v>
      </c>
    </row>
    <row r="24">
      <c r="A24" s="45" t="s">
        <v>198</v>
      </c>
      <c r="B24" s="45" t="s">
        <v>199</v>
      </c>
      <c r="C24" s="45" t="s">
        <v>200</v>
      </c>
      <c r="D24" s="45" t="s">
        <v>201</v>
      </c>
      <c r="E24" s="45" t="s">
        <v>184</v>
      </c>
      <c r="F24" s="45" t="s">
        <v>31</v>
      </c>
      <c r="G24" s="8">
        <v>1.2E8</v>
      </c>
      <c r="H24" s="22">
        <f>IF(E24="DB", G24 + SUMIFS('INPUT Penjualan'!K$4:K$1000, 'INPUT Penjualan'!D$4:D$1000, A24) + SUMIFS('INPUT Pembelian &amp; Produksi'!I$4:I$1000, 'INPUT Pembelian &amp; Produksi'!K$4:K$1000, A24) + SUMIFS('INPUT Beban &amp; Kas Keluar'!F$4:F$1000, 'INPUT Beban &amp; Kas Keluar'!C$4:C$1000, A24) + SUMIFS('INPUT Jurnal Penyesuaian'!H$4:H$500, 'INPUT Jurnal Penyesuaian'!D$4:D$500, A24) - SUMIFS('INPUT Penjualan'!K$4:K$1000, 'INPUT Penjualan'!F$4:F$1000, A24) - SUMIFS('INPUT Pembelian &amp; Produksi'!I$4:I$1000, 'INPUT Pembelian &amp; Produksi'!M$4:M$1000, A24) - SUMIFS('INPUT Beban &amp; Kas Keluar'!F$4:F$1000, 'INPUT Beban &amp; Kas Keluar'!G$4:G$1000, B24) - SUMIFS('INPUT Jurnal Penyesuaian'!H$4:H$500, 'INPUT Jurnal Penyesuaian'!F$4:F$500, A24), G24 + SUMIFS('INPUT Penjualan'!K$4:K$1000, 'INPUT Penjualan'!F$4:F$1000, A24) + SUMIFS('INPUT Pembelian &amp; Produksi'!I$4:I$1000, 'INPUT Pembelian &amp; Produksi'!M$4:M$1000, A24) + SUMIFS('INPUT Jurnal Penyesuaian'!H$4:H$500, 'INPUT Jurnal Penyesuaian'!F$4:F$500, A24) - SUMIFS('INPUT Penjualan'!K$4:K$1000, 'INPUT Penjualan'!D$4:D$1000, A24) - SUMIFS('INPUT Pembelian &amp; Produksi'!I$4:I$1000, 'INPUT Pembelian &amp; Produksi'!K$4:K$1000, A24) - SUMIFS('INPUT Beban &amp; Kas Keluar'!F$4:F$1000, 'INPUT Beban &amp; Kas Keluar'!G$4:G$1000, B24) - SUMIFS('INPUT Jurnal Penyesuaian'!H$4:H$500, 'INPUT Jurnal Penyesuaian'!D$4:D$500, A24))
</f>
        <v>120000000</v>
      </c>
    </row>
    <row r="25">
      <c r="A25" s="45" t="s">
        <v>178</v>
      </c>
      <c r="B25" s="45" t="s">
        <v>202</v>
      </c>
      <c r="C25" s="45" t="s">
        <v>200</v>
      </c>
      <c r="D25" s="45" t="s">
        <v>203</v>
      </c>
      <c r="E25" s="45" t="s">
        <v>30</v>
      </c>
      <c r="F25" s="45" t="s">
        <v>31</v>
      </c>
      <c r="G25" s="8">
        <v>0.0</v>
      </c>
      <c r="H25" s="22">
        <f>IF(E25="DB", G25 + SUMIFS('INPUT Penjualan'!K$4:K$1000, 'INPUT Penjualan'!D$4:D$1000, A25) + SUMIFS('INPUT Pembelian &amp; Produksi'!I$4:I$1000, 'INPUT Pembelian &amp; Produksi'!K$4:K$1000, A25) + SUMIFS('INPUT Beban &amp; Kas Keluar'!F$4:F$1000, 'INPUT Beban &amp; Kas Keluar'!C$4:C$1000, A25) + SUMIFS('INPUT Jurnal Penyesuaian'!H$4:H$500, 'INPUT Jurnal Penyesuaian'!D$4:D$500, A25) - SUMIFS('INPUT Penjualan'!K$4:K$1000, 'INPUT Penjualan'!F$4:F$1000, A25) - SUMIFS('INPUT Pembelian &amp; Produksi'!I$4:I$1000, 'INPUT Pembelian &amp; Produksi'!M$4:M$1000, A25) - SUMIFS('INPUT Beban &amp; Kas Keluar'!F$4:F$1000, 'INPUT Beban &amp; Kas Keluar'!G$4:G$1000, B25) - SUMIFS('INPUT Jurnal Penyesuaian'!H$4:H$500, 'INPUT Jurnal Penyesuaian'!F$4:F$500, A25), G25 + SUMIFS('INPUT Penjualan'!K$4:K$1000, 'INPUT Penjualan'!F$4:F$1000, A25) + SUMIFS('INPUT Pembelian &amp; Produksi'!I$4:I$1000, 'INPUT Pembelian &amp; Produksi'!M$4:M$1000, A25) + SUMIFS('INPUT Jurnal Penyesuaian'!H$4:H$500, 'INPUT Jurnal Penyesuaian'!F$4:F$500, A25) - SUMIFS('INPUT Penjualan'!K$4:K$1000, 'INPUT Penjualan'!D$4:D$1000, A25) - SUMIFS('INPUT Pembelian &amp; Produksi'!I$4:I$1000, 'INPUT Pembelian &amp; Produksi'!K$4:K$1000, A25) - SUMIFS('INPUT Beban &amp; Kas Keluar'!F$4:F$1000, 'INPUT Beban &amp; Kas Keluar'!G$4:G$1000, B25) - SUMIFS('INPUT Jurnal Penyesuaian'!H$4:H$500, 'INPUT Jurnal Penyesuaian'!D$4:D$500, A25))
</f>
        <v>2000000</v>
      </c>
    </row>
    <row r="26">
      <c r="A26" s="45" t="s">
        <v>204</v>
      </c>
      <c r="B26" s="45" t="s">
        <v>205</v>
      </c>
      <c r="C26" s="45" t="s">
        <v>200</v>
      </c>
      <c r="D26" s="45" t="s">
        <v>206</v>
      </c>
      <c r="E26" s="45" t="s">
        <v>184</v>
      </c>
      <c r="F26" s="45" t="s">
        <v>31</v>
      </c>
      <c r="G26" s="8">
        <v>0.0</v>
      </c>
      <c r="H26" s="22">
        <f>IF(E26="DB", G26 + SUMIFS('INPUT Penjualan'!K$4:K$1000, 'INPUT Penjualan'!D$4:D$1000, A26) + SUMIFS('INPUT Pembelian &amp; Produksi'!I$4:I$1000, 'INPUT Pembelian &amp; Produksi'!K$4:K$1000, A26) + SUMIFS('INPUT Beban &amp; Kas Keluar'!F$4:F$1000, 'INPUT Beban &amp; Kas Keluar'!C$4:C$1000, A26) + SUMIFS('INPUT Jurnal Penyesuaian'!H$4:H$500, 'INPUT Jurnal Penyesuaian'!D$4:D$500, A26) - SUMIFS('INPUT Penjualan'!K$4:K$1000, 'INPUT Penjualan'!F$4:F$1000, A26) - SUMIFS('INPUT Pembelian &amp; Produksi'!I$4:I$1000, 'INPUT Pembelian &amp; Produksi'!M$4:M$1000, A26) - SUMIFS('INPUT Beban &amp; Kas Keluar'!F$4:F$1000, 'INPUT Beban &amp; Kas Keluar'!G$4:G$1000, B26) - SUMIFS('INPUT Jurnal Penyesuaian'!H$4:H$500, 'INPUT Jurnal Penyesuaian'!F$4:F$500, A26), G26 + SUMIFS('INPUT Penjualan'!K$4:K$1000, 'INPUT Penjualan'!F$4:F$1000, A26) + SUMIFS('INPUT Pembelian &amp; Produksi'!I$4:I$1000, 'INPUT Pembelian &amp; Produksi'!M$4:M$1000, A26) + SUMIFS('INPUT Jurnal Penyesuaian'!H$4:H$500, 'INPUT Jurnal Penyesuaian'!F$4:F$500, A26) - SUMIFS('INPUT Penjualan'!K$4:K$1000, 'INPUT Penjualan'!D$4:D$1000, A26) - SUMIFS('INPUT Pembelian &amp; Produksi'!I$4:I$1000, 'INPUT Pembelian &amp; Produksi'!K$4:K$1000, A26) - SUMIFS('INPUT Beban &amp; Kas Keluar'!F$4:F$1000, 'INPUT Beban &amp; Kas Keluar'!G$4:G$1000, B26) - SUMIFS('INPUT Jurnal Penyesuaian'!H$4:H$500, 'INPUT Jurnal Penyesuaian'!D$4:D$500, A26))
</f>
        <v>0</v>
      </c>
    </row>
    <row r="27">
      <c r="A27" s="5" t="s">
        <v>43</v>
      </c>
      <c r="B27" s="5" t="s">
        <v>207</v>
      </c>
      <c r="C27" s="5" t="s">
        <v>208</v>
      </c>
      <c r="D27" s="5" t="s">
        <v>209</v>
      </c>
      <c r="E27" s="5" t="s">
        <v>184</v>
      </c>
      <c r="F27" s="5" t="s">
        <v>210</v>
      </c>
      <c r="G27" s="8">
        <v>0.0</v>
      </c>
      <c r="H27" s="22">
        <f>IF(E27="DB", G27 + SUMIFS('INPUT Penjualan'!K$4:K$1000, 'INPUT Penjualan'!D$4:D$1000, A27) + SUMIFS('INPUT Pembelian &amp; Produksi'!I$4:I$1000, 'INPUT Pembelian &amp; Produksi'!K$4:K$1000, A27) + SUMIFS('INPUT Beban &amp; Kas Keluar'!F$4:F$1000, 'INPUT Beban &amp; Kas Keluar'!C$4:C$1000, A27) + SUMIFS('INPUT Jurnal Penyesuaian'!H$4:H$500, 'INPUT Jurnal Penyesuaian'!D$4:D$500, A27) - SUMIFS('INPUT Penjualan'!K$4:K$1000, 'INPUT Penjualan'!F$4:F$1000, A27) - SUMIFS('INPUT Pembelian &amp; Produksi'!I$4:I$1000, 'INPUT Pembelian &amp; Produksi'!M$4:M$1000, A27) - SUMIFS('INPUT Beban &amp; Kas Keluar'!F$4:F$1000, 'INPUT Beban &amp; Kas Keluar'!G$4:G$1000, B27) - SUMIFS('INPUT Jurnal Penyesuaian'!H$4:H$500, 'INPUT Jurnal Penyesuaian'!F$4:F$500, A27), G27 + SUMIFS('INPUT Penjualan'!K$4:K$1000, 'INPUT Penjualan'!F$4:F$1000, A27) + SUMIFS('INPUT Pembelian &amp; Produksi'!I$4:I$1000, 'INPUT Pembelian &amp; Produksi'!M$4:M$1000, A27) + SUMIFS('INPUT Jurnal Penyesuaian'!H$4:H$500, 'INPUT Jurnal Penyesuaian'!F$4:F$500, A27) - SUMIFS('INPUT Penjualan'!K$4:K$1000, 'INPUT Penjualan'!D$4:D$1000, A27) - SUMIFS('INPUT Pembelian &amp; Produksi'!I$4:I$1000, 'INPUT Pembelian &amp; Produksi'!K$4:K$1000, A27) - SUMIFS('INPUT Beban &amp; Kas Keluar'!F$4:F$1000, 'INPUT Beban &amp; Kas Keluar'!G$4:G$1000, B27) - SUMIFS('INPUT Jurnal Penyesuaian'!H$4:H$500, 'INPUT Jurnal Penyesuaian'!D$4:D$500, A27))
</f>
        <v>6990000</v>
      </c>
    </row>
    <row r="28">
      <c r="A28" s="5" t="s">
        <v>52</v>
      </c>
      <c r="B28" s="5" t="s">
        <v>211</v>
      </c>
      <c r="C28" s="5" t="s">
        <v>208</v>
      </c>
      <c r="D28" s="5" t="s">
        <v>209</v>
      </c>
      <c r="E28" s="5" t="s">
        <v>184</v>
      </c>
      <c r="F28" s="5" t="s">
        <v>210</v>
      </c>
      <c r="G28" s="8">
        <v>0.0</v>
      </c>
      <c r="H28" s="22">
        <f>IF(E28="DB", G28 + SUMIFS('INPUT Penjualan'!K$4:K$1000, 'INPUT Penjualan'!D$4:D$1000, A28) + SUMIFS('INPUT Pembelian &amp; Produksi'!I$4:I$1000, 'INPUT Pembelian &amp; Produksi'!K$4:K$1000, A28) + SUMIFS('INPUT Beban &amp; Kas Keluar'!F$4:F$1000, 'INPUT Beban &amp; Kas Keluar'!C$4:C$1000, A28) + SUMIFS('INPUT Jurnal Penyesuaian'!H$4:H$500, 'INPUT Jurnal Penyesuaian'!D$4:D$500, A28) - SUMIFS('INPUT Penjualan'!K$4:K$1000, 'INPUT Penjualan'!F$4:F$1000, A28) - SUMIFS('INPUT Pembelian &amp; Produksi'!I$4:I$1000, 'INPUT Pembelian &amp; Produksi'!M$4:M$1000, A28) - SUMIFS('INPUT Beban &amp; Kas Keluar'!F$4:F$1000, 'INPUT Beban &amp; Kas Keluar'!G$4:G$1000, B28) - SUMIFS('INPUT Jurnal Penyesuaian'!H$4:H$500, 'INPUT Jurnal Penyesuaian'!F$4:F$500, A28), G28 + SUMIFS('INPUT Penjualan'!K$4:K$1000, 'INPUT Penjualan'!F$4:F$1000, A28) + SUMIFS('INPUT Pembelian &amp; Produksi'!I$4:I$1000, 'INPUT Pembelian &amp; Produksi'!M$4:M$1000, A28) + SUMIFS('INPUT Jurnal Penyesuaian'!H$4:H$500, 'INPUT Jurnal Penyesuaian'!F$4:F$500, A28) - SUMIFS('INPUT Penjualan'!K$4:K$1000, 'INPUT Penjualan'!D$4:D$1000, A28) - SUMIFS('INPUT Pembelian &amp; Produksi'!I$4:I$1000, 'INPUT Pembelian &amp; Produksi'!K$4:K$1000, A28) - SUMIFS('INPUT Beban &amp; Kas Keluar'!F$4:F$1000, 'INPUT Beban &amp; Kas Keluar'!G$4:G$1000, B28) - SUMIFS('INPUT Jurnal Penyesuaian'!H$4:H$500, 'INPUT Jurnal Penyesuaian'!D$4:D$500, A28))
</f>
        <v>2980000</v>
      </c>
    </row>
    <row r="29">
      <c r="A29" s="5" t="s">
        <v>57</v>
      </c>
      <c r="B29" s="5" t="s">
        <v>212</v>
      </c>
      <c r="C29" s="5" t="s">
        <v>208</v>
      </c>
      <c r="D29" s="5" t="s">
        <v>209</v>
      </c>
      <c r="E29" s="5" t="s">
        <v>184</v>
      </c>
      <c r="F29" s="5" t="s">
        <v>210</v>
      </c>
      <c r="G29" s="8">
        <v>0.0</v>
      </c>
      <c r="H29" s="22">
        <f>IF(E29="DB", G29 + SUMIFS('INPUT Penjualan'!K$4:K$1000, 'INPUT Penjualan'!D$4:D$1000, A29) + SUMIFS('INPUT Pembelian &amp; Produksi'!I$4:I$1000, 'INPUT Pembelian &amp; Produksi'!K$4:K$1000, A29) + SUMIFS('INPUT Beban &amp; Kas Keluar'!F$4:F$1000, 'INPUT Beban &amp; Kas Keluar'!C$4:C$1000, A29) + SUMIFS('INPUT Jurnal Penyesuaian'!H$4:H$500, 'INPUT Jurnal Penyesuaian'!D$4:D$500, A29) - SUMIFS('INPUT Penjualan'!K$4:K$1000, 'INPUT Penjualan'!F$4:F$1000, A29) - SUMIFS('INPUT Pembelian &amp; Produksi'!I$4:I$1000, 'INPUT Pembelian &amp; Produksi'!M$4:M$1000, A29) - SUMIFS('INPUT Beban &amp; Kas Keluar'!F$4:F$1000, 'INPUT Beban &amp; Kas Keluar'!G$4:G$1000, B29) - SUMIFS('INPUT Jurnal Penyesuaian'!H$4:H$500, 'INPUT Jurnal Penyesuaian'!F$4:F$500, A29), G29 + SUMIFS('INPUT Penjualan'!K$4:K$1000, 'INPUT Penjualan'!F$4:F$1000, A29) + SUMIFS('INPUT Pembelian &amp; Produksi'!I$4:I$1000, 'INPUT Pembelian &amp; Produksi'!M$4:M$1000, A29) + SUMIFS('INPUT Jurnal Penyesuaian'!H$4:H$500, 'INPUT Jurnal Penyesuaian'!F$4:F$500, A29) - SUMIFS('INPUT Penjualan'!K$4:K$1000, 'INPUT Penjualan'!D$4:D$1000, A29) - SUMIFS('INPUT Pembelian &amp; Produksi'!I$4:I$1000, 'INPUT Pembelian &amp; Produksi'!K$4:K$1000, A29) - SUMIFS('INPUT Beban &amp; Kas Keluar'!F$4:F$1000, 'INPUT Beban &amp; Kas Keluar'!G$4:G$1000, B29) - SUMIFS('INPUT Jurnal Penyesuaian'!H$4:H$500, 'INPUT Jurnal Penyesuaian'!D$4:D$500, A29))
</f>
        <v>8500000</v>
      </c>
    </row>
    <row r="30">
      <c r="A30" s="5" t="s">
        <v>81</v>
      </c>
      <c r="B30" s="5" t="s">
        <v>213</v>
      </c>
      <c r="C30" s="5" t="s">
        <v>208</v>
      </c>
      <c r="D30" s="5" t="s">
        <v>209</v>
      </c>
      <c r="E30" s="5" t="s">
        <v>184</v>
      </c>
      <c r="F30" s="5" t="s">
        <v>210</v>
      </c>
      <c r="G30" s="8">
        <v>0.0</v>
      </c>
      <c r="H30" s="22">
        <f>IF(E30="DB", G30 + SUMIFS('INPUT Penjualan'!K$4:K$1000, 'INPUT Penjualan'!D$4:D$1000, A30) + SUMIFS('INPUT Pembelian &amp; Produksi'!I$4:I$1000, 'INPUT Pembelian &amp; Produksi'!K$4:K$1000, A30) + SUMIFS('INPUT Beban &amp; Kas Keluar'!F$4:F$1000, 'INPUT Beban &amp; Kas Keluar'!C$4:C$1000, A30) + SUMIFS('INPUT Jurnal Penyesuaian'!H$4:H$500, 'INPUT Jurnal Penyesuaian'!D$4:D$500, A30) - SUMIFS('INPUT Penjualan'!K$4:K$1000, 'INPUT Penjualan'!F$4:F$1000, A30) - SUMIFS('INPUT Pembelian &amp; Produksi'!I$4:I$1000, 'INPUT Pembelian &amp; Produksi'!M$4:M$1000, A30) - SUMIFS('INPUT Beban &amp; Kas Keluar'!F$4:F$1000, 'INPUT Beban &amp; Kas Keluar'!G$4:G$1000, B30) - SUMIFS('INPUT Jurnal Penyesuaian'!H$4:H$500, 'INPUT Jurnal Penyesuaian'!F$4:F$500, A30), G30 + SUMIFS('INPUT Penjualan'!K$4:K$1000, 'INPUT Penjualan'!F$4:F$1000, A30) + SUMIFS('INPUT Pembelian &amp; Produksi'!I$4:I$1000, 'INPUT Pembelian &amp; Produksi'!M$4:M$1000, A30) + SUMIFS('INPUT Jurnal Penyesuaian'!H$4:H$500, 'INPUT Jurnal Penyesuaian'!F$4:F$500, A30) - SUMIFS('INPUT Penjualan'!K$4:K$1000, 'INPUT Penjualan'!D$4:D$1000, A30) - SUMIFS('INPUT Pembelian &amp; Produksi'!I$4:I$1000, 'INPUT Pembelian &amp; Produksi'!K$4:K$1000, A30) - SUMIFS('INPUT Beban &amp; Kas Keluar'!F$4:F$1000, 'INPUT Beban &amp; Kas Keluar'!G$4:G$1000, B30) - SUMIFS('INPUT Jurnal Penyesuaian'!H$4:H$500, 'INPUT Jurnal Penyesuaian'!D$4:D$500, A30))
</f>
        <v>1800000</v>
      </c>
    </row>
    <row r="31">
      <c r="A31" s="5" t="s">
        <v>74</v>
      </c>
      <c r="B31" s="5" t="s">
        <v>214</v>
      </c>
      <c r="C31" s="5" t="s">
        <v>208</v>
      </c>
      <c r="D31" s="5" t="s">
        <v>209</v>
      </c>
      <c r="E31" s="5" t="s">
        <v>184</v>
      </c>
      <c r="F31" s="5" t="s">
        <v>210</v>
      </c>
      <c r="G31" s="8">
        <v>0.0</v>
      </c>
      <c r="H31" s="22">
        <f>IF(E31="DB", G31 + SUMIFS('INPUT Penjualan'!K$4:K$1000, 'INPUT Penjualan'!D$4:D$1000, A31) + SUMIFS('INPUT Pembelian &amp; Produksi'!I$4:I$1000, 'INPUT Pembelian &amp; Produksi'!K$4:K$1000, A31) + SUMIFS('INPUT Beban &amp; Kas Keluar'!F$4:F$1000, 'INPUT Beban &amp; Kas Keluar'!C$4:C$1000, A31) + SUMIFS('INPUT Jurnal Penyesuaian'!H$4:H$500, 'INPUT Jurnal Penyesuaian'!D$4:D$500, A31) - SUMIFS('INPUT Penjualan'!K$4:K$1000, 'INPUT Penjualan'!F$4:F$1000, A31) - SUMIFS('INPUT Pembelian &amp; Produksi'!I$4:I$1000, 'INPUT Pembelian &amp; Produksi'!M$4:M$1000, A31) - SUMIFS('INPUT Beban &amp; Kas Keluar'!F$4:F$1000, 'INPUT Beban &amp; Kas Keluar'!G$4:G$1000, B31) - SUMIFS('INPUT Jurnal Penyesuaian'!H$4:H$500, 'INPUT Jurnal Penyesuaian'!F$4:F$500, A31), G31 + SUMIFS('INPUT Penjualan'!K$4:K$1000, 'INPUT Penjualan'!F$4:F$1000, A31) + SUMIFS('INPUT Pembelian &amp; Produksi'!I$4:I$1000, 'INPUT Pembelian &amp; Produksi'!M$4:M$1000, A31) + SUMIFS('INPUT Jurnal Penyesuaian'!H$4:H$500, 'INPUT Jurnal Penyesuaian'!F$4:F$500, A31) - SUMIFS('INPUT Penjualan'!K$4:K$1000, 'INPUT Penjualan'!D$4:D$1000, A31) - SUMIFS('INPUT Pembelian &amp; Produksi'!I$4:I$1000, 'INPUT Pembelian &amp; Produksi'!K$4:K$1000, A31) - SUMIFS('INPUT Beban &amp; Kas Keluar'!F$4:F$1000, 'INPUT Beban &amp; Kas Keluar'!G$4:G$1000, B31) - SUMIFS('INPUT Jurnal Penyesuaian'!H$4:H$500, 'INPUT Jurnal Penyesuaian'!D$4:D$500, A31))
</f>
        <v>3600000</v>
      </c>
    </row>
    <row r="32">
      <c r="A32" s="5" t="s">
        <v>69</v>
      </c>
      <c r="B32" s="5" t="s">
        <v>215</v>
      </c>
      <c r="C32" s="5" t="s">
        <v>208</v>
      </c>
      <c r="D32" s="5" t="s">
        <v>209</v>
      </c>
      <c r="E32" s="5" t="s">
        <v>184</v>
      </c>
      <c r="F32" s="5" t="s">
        <v>210</v>
      </c>
      <c r="G32" s="8">
        <v>0.0</v>
      </c>
      <c r="H32" s="22">
        <f>IF(E32="DB", G32 + SUMIFS('INPUT Penjualan'!K$4:K$1000, 'INPUT Penjualan'!D$4:D$1000, A32) + SUMIFS('INPUT Pembelian &amp; Produksi'!I$4:I$1000, 'INPUT Pembelian &amp; Produksi'!K$4:K$1000, A32) + SUMIFS('INPUT Beban &amp; Kas Keluar'!F$4:F$1000, 'INPUT Beban &amp; Kas Keluar'!C$4:C$1000, A32) + SUMIFS('INPUT Jurnal Penyesuaian'!H$4:H$500, 'INPUT Jurnal Penyesuaian'!D$4:D$500, A32) - SUMIFS('INPUT Penjualan'!K$4:K$1000, 'INPUT Penjualan'!F$4:F$1000, A32) - SUMIFS('INPUT Pembelian &amp; Produksi'!I$4:I$1000, 'INPUT Pembelian &amp; Produksi'!M$4:M$1000, A32) - SUMIFS('INPUT Beban &amp; Kas Keluar'!F$4:F$1000, 'INPUT Beban &amp; Kas Keluar'!G$4:G$1000, B32) - SUMIFS('INPUT Jurnal Penyesuaian'!H$4:H$500, 'INPUT Jurnal Penyesuaian'!F$4:F$500, A32), G32 + SUMIFS('INPUT Penjualan'!K$4:K$1000, 'INPUT Penjualan'!F$4:F$1000, A32) + SUMIFS('INPUT Pembelian &amp; Produksi'!I$4:I$1000, 'INPUT Pembelian &amp; Produksi'!M$4:M$1000, A32) + SUMIFS('INPUT Jurnal Penyesuaian'!H$4:H$500, 'INPUT Jurnal Penyesuaian'!F$4:F$500, A32) - SUMIFS('INPUT Penjualan'!K$4:K$1000, 'INPUT Penjualan'!D$4:D$1000, A32) - SUMIFS('INPUT Pembelian &amp; Produksi'!I$4:I$1000, 'INPUT Pembelian &amp; Produksi'!K$4:K$1000, A32) - SUMIFS('INPUT Beban &amp; Kas Keluar'!F$4:F$1000, 'INPUT Beban &amp; Kas Keluar'!G$4:G$1000, B32) - SUMIFS('INPUT Jurnal Penyesuaian'!H$4:H$500, 'INPUT Jurnal Penyesuaian'!D$4:D$500, A32))
</f>
        <v>6800000</v>
      </c>
    </row>
    <row r="33">
      <c r="A33" s="5" t="s">
        <v>216</v>
      </c>
      <c r="B33" s="5" t="s">
        <v>217</v>
      </c>
      <c r="C33" s="5" t="s">
        <v>208</v>
      </c>
      <c r="D33" s="5" t="s">
        <v>218</v>
      </c>
      <c r="E33" s="5" t="s">
        <v>184</v>
      </c>
      <c r="F33" s="5" t="s">
        <v>210</v>
      </c>
      <c r="G33" s="8">
        <v>0.0</v>
      </c>
      <c r="H33" s="22">
        <f>IF(E33="DB", G33 + SUMIFS('INPUT Penjualan'!K$4:K$1000, 'INPUT Penjualan'!D$4:D$1000, A33) + SUMIFS('INPUT Pembelian &amp; Produksi'!I$4:I$1000, 'INPUT Pembelian &amp; Produksi'!K$4:K$1000, A33) + SUMIFS('INPUT Beban &amp; Kas Keluar'!F$4:F$1000, 'INPUT Beban &amp; Kas Keluar'!C$4:C$1000, A33) + SUMIFS('INPUT Jurnal Penyesuaian'!H$4:H$500, 'INPUT Jurnal Penyesuaian'!D$4:D$500, A33) - SUMIFS('INPUT Penjualan'!K$4:K$1000, 'INPUT Penjualan'!F$4:F$1000, A33) - SUMIFS('INPUT Pembelian &amp; Produksi'!I$4:I$1000, 'INPUT Pembelian &amp; Produksi'!M$4:M$1000, A33) - SUMIFS('INPUT Beban &amp; Kas Keluar'!F$4:F$1000, 'INPUT Beban &amp; Kas Keluar'!G$4:G$1000, B33) - SUMIFS('INPUT Jurnal Penyesuaian'!H$4:H$500, 'INPUT Jurnal Penyesuaian'!F$4:F$500, A33), G33 + SUMIFS('INPUT Penjualan'!K$4:K$1000, 'INPUT Penjualan'!F$4:F$1000, A33) + SUMIFS('INPUT Pembelian &amp; Produksi'!I$4:I$1000, 'INPUT Pembelian &amp; Produksi'!M$4:M$1000, A33) + SUMIFS('INPUT Jurnal Penyesuaian'!H$4:H$500, 'INPUT Jurnal Penyesuaian'!F$4:F$500, A33) - SUMIFS('INPUT Penjualan'!K$4:K$1000, 'INPUT Penjualan'!D$4:D$1000, A33) - SUMIFS('INPUT Pembelian &amp; Produksi'!I$4:I$1000, 'INPUT Pembelian &amp; Produksi'!K$4:K$1000, A33) - SUMIFS('INPUT Beban &amp; Kas Keluar'!F$4:F$1000, 'INPUT Beban &amp; Kas Keluar'!G$4:G$1000, B33) - SUMIFS('INPUT Jurnal Penyesuaian'!H$4:H$500, 'INPUT Jurnal Penyesuaian'!D$4:D$500, A33))
</f>
        <v>0</v>
      </c>
    </row>
    <row r="34">
      <c r="A34" s="5" t="s">
        <v>219</v>
      </c>
      <c r="B34" s="5" t="s">
        <v>220</v>
      </c>
      <c r="C34" s="5" t="s">
        <v>208</v>
      </c>
      <c r="D34" s="5" t="s">
        <v>221</v>
      </c>
      <c r="E34" s="5" t="s">
        <v>30</v>
      </c>
      <c r="F34" s="5" t="s">
        <v>210</v>
      </c>
      <c r="G34" s="8">
        <v>0.0</v>
      </c>
      <c r="H34" s="22">
        <f>IF(E34="DB", G34 + SUMIFS('INPUT Penjualan'!K$4:K$1000, 'INPUT Penjualan'!D$4:D$1000, A34) + SUMIFS('INPUT Pembelian &amp; Produksi'!I$4:I$1000, 'INPUT Pembelian &amp; Produksi'!K$4:K$1000, A34) + SUMIFS('INPUT Beban &amp; Kas Keluar'!F$4:F$1000, 'INPUT Beban &amp; Kas Keluar'!C$4:C$1000, A34) + SUMIFS('INPUT Jurnal Penyesuaian'!H$4:H$500, 'INPUT Jurnal Penyesuaian'!D$4:D$500, A34) - SUMIFS('INPUT Penjualan'!K$4:K$1000, 'INPUT Penjualan'!F$4:F$1000, A34) - SUMIFS('INPUT Pembelian &amp; Produksi'!I$4:I$1000, 'INPUT Pembelian &amp; Produksi'!M$4:M$1000, A34) - SUMIFS('INPUT Beban &amp; Kas Keluar'!F$4:F$1000, 'INPUT Beban &amp; Kas Keluar'!G$4:G$1000, B34) - SUMIFS('INPUT Jurnal Penyesuaian'!H$4:H$500, 'INPUT Jurnal Penyesuaian'!F$4:F$500, A34), G34 + SUMIFS('INPUT Penjualan'!K$4:K$1000, 'INPUT Penjualan'!F$4:F$1000, A34) + SUMIFS('INPUT Pembelian &amp; Produksi'!I$4:I$1000, 'INPUT Pembelian &amp; Produksi'!M$4:M$1000, A34) + SUMIFS('INPUT Jurnal Penyesuaian'!H$4:H$500, 'INPUT Jurnal Penyesuaian'!F$4:F$500, A34) - SUMIFS('INPUT Penjualan'!K$4:K$1000, 'INPUT Penjualan'!D$4:D$1000, A34) - SUMIFS('INPUT Pembelian &amp; Produksi'!I$4:I$1000, 'INPUT Pembelian &amp; Produksi'!K$4:K$1000, A34) - SUMIFS('INPUT Beban &amp; Kas Keluar'!F$4:F$1000, 'INPUT Beban &amp; Kas Keluar'!G$4:G$1000, B34) - SUMIFS('INPUT Jurnal Penyesuaian'!H$4:H$500, 'INPUT Jurnal Penyesuaian'!D$4:D$500, A34))
</f>
        <v>0</v>
      </c>
    </row>
    <row r="35">
      <c r="A35" s="5" t="s">
        <v>222</v>
      </c>
      <c r="B35" s="5" t="s">
        <v>223</v>
      </c>
      <c r="C35" s="5" t="s">
        <v>208</v>
      </c>
      <c r="D35" s="5" t="s">
        <v>221</v>
      </c>
      <c r="E35" s="5" t="s">
        <v>30</v>
      </c>
      <c r="F35" s="5" t="s">
        <v>210</v>
      </c>
      <c r="G35" s="8">
        <v>0.0</v>
      </c>
      <c r="H35" s="22">
        <f>IF(E35="DB", G35 + SUMIFS('INPUT Penjualan'!K$4:K$1000, 'INPUT Penjualan'!D$4:D$1000, A35) + SUMIFS('INPUT Pembelian &amp; Produksi'!I$4:I$1000, 'INPUT Pembelian &amp; Produksi'!K$4:K$1000, A35) + SUMIFS('INPUT Beban &amp; Kas Keluar'!F$4:F$1000, 'INPUT Beban &amp; Kas Keluar'!C$4:C$1000, A35) + SUMIFS('INPUT Jurnal Penyesuaian'!H$4:H$500, 'INPUT Jurnal Penyesuaian'!D$4:D$500, A35) - SUMIFS('INPUT Penjualan'!K$4:K$1000, 'INPUT Penjualan'!F$4:F$1000, A35) - SUMIFS('INPUT Pembelian &amp; Produksi'!I$4:I$1000, 'INPUT Pembelian &amp; Produksi'!M$4:M$1000, A35) - SUMIFS('INPUT Beban &amp; Kas Keluar'!F$4:F$1000, 'INPUT Beban &amp; Kas Keluar'!G$4:G$1000, B35) - SUMIFS('INPUT Jurnal Penyesuaian'!H$4:H$500, 'INPUT Jurnal Penyesuaian'!F$4:F$500, A35), G35 + SUMIFS('INPUT Penjualan'!K$4:K$1000, 'INPUT Penjualan'!F$4:F$1000, A35) + SUMIFS('INPUT Pembelian &amp; Produksi'!I$4:I$1000, 'INPUT Pembelian &amp; Produksi'!M$4:M$1000, A35) + SUMIFS('INPUT Jurnal Penyesuaian'!H$4:H$500, 'INPUT Jurnal Penyesuaian'!F$4:F$500, A35) - SUMIFS('INPUT Penjualan'!K$4:K$1000, 'INPUT Penjualan'!D$4:D$1000, A35) - SUMIFS('INPUT Pembelian &amp; Produksi'!I$4:I$1000, 'INPUT Pembelian &amp; Produksi'!K$4:K$1000, A35) - SUMIFS('INPUT Beban &amp; Kas Keluar'!F$4:F$1000, 'INPUT Beban &amp; Kas Keluar'!G$4:G$1000, B35) - SUMIFS('INPUT Jurnal Penyesuaian'!H$4:H$500, 'INPUT Jurnal Penyesuaian'!D$4:D$500, A35))
</f>
        <v>0</v>
      </c>
    </row>
    <row r="36">
      <c r="A36" s="5" t="s">
        <v>224</v>
      </c>
      <c r="B36" s="5" t="s">
        <v>225</v>
      </c>
      <c r="C36" s="5" t="s">
        <v>208</v>
      </c>
      <c r="D36" s="5" t="s">
        <v>221</v>
      </c>
      <c r="E36" s="5" t="s">
        <v>30</v>
      </c>
      <c r="F36" s="5" t="s">
        <v>210</v>
      </c>
      <c r="G36" s="8">
        <v>0.0</v>
      </c>
      <c r="H36" s="22">
        <f>IF(E36="DB", G36 + SUMIFS('INPUT Penjualan'!K$4:K$1000, 'INPUT Penjualan'!D$4:D$1000, A36) + SUMIFS('INPUT Pembelian &amp; Produksi'!I$4:I$1000, 'INPUT Pembelian &amp; Produksi'!K$4:K$1000, A36) + SUMIFS('INPUT Beban &amp; Kas Keluar'!F$4:F$1000, 'INPUT Beban &amp; Kas Keluar'!C$4:C$1000, A36) + SUMIFS('INPUT Jurnal Penyesuaian'!H$4:H$500, 'INPUT Jurnal Penyesuaian'!D$4:D$500, A36) - SUMIFS('INPUT Penjualan'!K$4:K$1000, 'INPUT Penjualan'!F$4:F$1000, A36) - SUMIFS('INPUT Pembelian &amp; Produksi'!I$4:I$1000, 'INPUT Pembelian &amp; Produksi'!M$4:M$1000, A36) - SUMIFS('INPUT Beban &amp; Kas Keluar'!F$4:F$1000, 'INPUT Beban &amp; Kas Keluar'!G$4:G$1000, B36) - SUMIFS('INPUT Jurnal Penyesuaian'!H$4:H$500, 'INPUT Jurnal Penyesuaian'!F$4:F$500, A36), G36 + SUMIFS('INPUT Penjualan'!K$4:K$1000, 'INPUT Penjualan'!F$4:F$1000, A36) + SUMIFS('INPUT Pembelian &amp; Produksi'!I$4:I$1000, 'INPUT Pembelian &amp; Produksi'!M$4:M$1000, A36) + SUMIFS('INPUT Jurnal Penyesuaian'!H$4:H$500, 'INPUT Jurnal Penyesuaian'!F$4:F$500, A36) - SUMIFS('INPUT Penjualan'!K$4:K$1000, 'INPUT Penjualan'!D$4:D$1000, A36) - SUMIFS('INPUT Pembelian &amp; Produksi'!I$4:I$1000, 'INPUT Pembelian &amp; Produksi'!K$4:K$1000, A36) - SUMIFS('INPUT Beban &amp; Kas Keluar'!F$4:F$1000, 'INPUT Beban &amp; Kas Keluar'!G$4:G$1000, B36) - SUMIFS('INPUT Jurnal Penyesuaian'!H$4:H$500, 'INPUT Jurnal Penyesuaian'!D$4:D$500, A36))
</f>
        <v>0</v>
      </c>
    </row>
    <row r="37">
      <c r="A37" s="46" t="s">
        <v>226</v>
      </c>
      <c r="B37" s="46" t="s">
        <v>227</v>
      </c>
      <c r="C37" s="46" t="s">
        <v>228</v>
      </c>
      <c r="D37" s="46" t="s">
        <v>229</v>
      </c>
      <c r="E37" s="46" t="s">
        <v>30</v>
      </c>
      <c r="F37" s="46" t="s">
        <v>210</v>
      </c>
      <c r="G37" s="8">
        <v>0.0</v>
      </c>
      <c r="H37" s="22">
        <f>IF(E37="DB", G37 + SUMIFS('INPUT Penjualan'!K$4:K$1000, 'INPUT Penjualan'!D$4:D$1000, A37) + SUMIFS('INPUT Pembelian &amp; Produksi'!I$4:I$1000, 'INPUT Pembelian &amp; Produksi'!K$4:K$1000, A37) + SUMIFS('INPUT Beban &amp; Kas Keluar'!F$4:F$1000, 'INPUT Beban &amp; Kas Keluar'!C$4:C$1000, A37) + SUMIFS('INPUT Jurnal Penyesuaian'!H$4:H$500, 'INPUT Jurnal Penyesuaian'!D$4:D$500, A37) - SUMIFS('INPUT Penjualan'!K$4:K$1000, 'INPUT Penjualan'!F$4:F$1000, A37) - SUMIFS('INPUT Pembelian &amp; Produksi'!I$4:I$1000, 'INPUT Pembelian &amp; Produksi'!M$4:M$1000, A37) - SUMIFS('INPUT Beban &amp; Kas Keluar'!F$4:F$1000, 'INPUT Beban &amp; Kas Keluar'!G$4:G$1000, B37) - SUMIFS('INPUT Jurnal Penyesuaian'!H$4:H$500, 'INPUT Jurnal Penyesuaian'!F$4:F$500, A37), G37 + SUMIFS('INPUT Penjualan'!K$4:K$1000, 'INPUT Penjualan'!F$4:F$1000, A37) + SUMIFS('INPUT Pembelian &amp; Produksi'!I$4:I$1000, 'INPUT Pembelian &amp; Produksi'!M$4:M$1000, A37) + SUMIFS('INPUT Jurnal Penyesuaian'!H$4:H$500, 'INPUT Jurnal Penyesuaian'!F$4:F$500, A37) - SUMIFS('INPUT Penjualan'!K$4:K$1000, 'INPUT Penjualan'!D$4:D$1000, A37) - SUMIFS('INPUT Pembelian &amp; Produksi'!I$4:I$1000, 'INPUT Pembelian &amp; Produksi'!K$4:K$1000, A37) - SUMIFS('INPUT Beban &amp; Kas Keluar'!F$4:F$1000, 'INPUT Beban &amp; Kas Keluar'!G$4:G$1000, B37) - SUMIFS('INPUT Jurnal Penyesuaian'!H$4:H$500, 'INPUT Jurnal Penyesuaian'!D$4:D$500, A37))
</f>
        <v>0</v>
      </c>
    </row>
    <row r="38">
      <c r="A38" s="46" t="s">
        <v>107</v>
      </c>
      <c r="B38" s="46" t="s">
        <v>230</v>
      </c>
      <c r="C38" s="46" t="s">
        <v>228</v>
      </c>
      <c r="D38" s="46" t="s">
        <v>231</v>
      </c>
      <c r="E38" s="46" t="s">
        <v>30</v>
      </c>
      <c r="F38" s="46" t="s">
        <v>210</v>
      </c>
      <c r="G38" s="8">
        <v>0.0</v>
      </c>
      <c r="H38" s="22">
        <f>IF(E38="DB", G38 + SUMIFS('INPUT Penjualan'!K$4:K$1000, 'INPUT Penjualan'!D$4:D$1000, A38) + SUMIFS('INPUT Pembelian &amp; Produksi'!I$4:I$1000, 'INPUT Pembelian &amp; Produksi'!K$4:K$1000, A38) + SUMIFS('INPUT Beban &amp; Kas Keluar'!F$4:F$1000, 'INPUT Beban &amp; Kas Keluar'!C$4:C$1000, A38) + SUMIFS('INPUT Jurnal Penyesuaian'!H$4:H$500, 'INPUT Jurnal Penyesuaian'!D$4:D$500, A38) - SUMIFS('INPUT Penjualan'!K$4:K$1000, 'INPUT Penjualan'!F$4:F$1000, A38) - SUMIFS('INPUT Pembelian &amp; Produksi'!I$4:I$1000, 'INPUT Pembelian &amp; Produksi'!M$4:M$1000, A38) - SUMIFS('INPUT Beban &amp; Kas Keluar'!F$4:F$1000, 'INPUT Beban &amp; Kas Keluar'!G$4:G$1000, B38) - SUMIFS('INPUT Jurnal Penyesuaian'!H$4:H$500, 'INPUT Jurnal Penyesuaian'!F$4:F$500, A38), G38 + SUMIFS('INPUT Penjualan'!K$4:K$1000, 'INPUT Penjualan'!F$4:F$1000, A38) + SUMIFS('INPUT Pembelian &amp; Produksi'!I$4:I$1000, 'INPUT Pembelian &amp; Produksi'!M$4:M$1000, A38) + SUMIFS('INPUT Jurnal Penyesuaian'!H$4:H$500, 'INPUT Jurnal Penyesuaian'!F$4:F$500, A38) - SUMIFS('INPUT Penjualan'!K$4:K$1000, 'INPUT Penjualan'!D$4:D$1000, A38) - SUMIFS('INPUT Pembelian &amp; Produksi'!I$4:I$1000, 'INPUT Pembelian &amp; Produksi'!K$4:K$1000, A38) - SUMIFS('INPUT Beban &amp; Kas Keluar'!F$4:F$1000, 'INPUT Beban &amp; Kas Keluar'!G$4:G$1000, B38) - SUMIFS('INPUT Jurnal Penyesuaian'!H$4:H$500, 'INPUT Jurnal Penyesuaian'!D$4:D$500, A38))
</f>
        <v>10000000</v>
      </c>
    </row>
    <row r="39">
      <c r="A39" s="46" t="s">
        <v>115</v>
      </c>
      <c r="B39" s="46" t="s">
        <v>232</v>
      </c>
      <c r="C39" s="46" t="s">
        <v>228</v>
      </c>
      <c r="D39" s="46" t="s">
        <v>231</v>
      </c>
      <c r="E39" s="46" t="s">
        <v>30</v>
      </c>
      <c r="F39" s="46" t="s">
        <v>210</v>
      </c>
      <c r="G39" s="8">
        <v>0.0</v>
      </c>
      <c r="H39" s="22">
        <f>IF(E39="DB", G39 + SUMIFS('INPUT Penjualan'!K$4:K$1000, 'INPUT Penjualan'!D$4:D$1000, A39) + SUMIFS('INPUT Pembelian &amp; Produksi'!I$4:I$1000, 'INPUT Pembelian &amp; Produksi'!K$4:K$1000, A39) + SUMIFS('INPUT Beban &amp; Kas Keluar'!F$4:F$1000, 'INPUT Beban &amp; Kas Keluar'!C$4:C$1000, A39) + SUMIFS('INPUT Jurnal Penyesuaian'!H$4:H$500, 'INPUT Jurnal Penyesuaian'!D$4:D$500, A39) - SUMIFS('INPUT Penjualan'!K$4:K$1000, 'INPUT Penjualan'!F$4:F$1000, A39) - SUMIFS('INPUT Pembelian &amp; Produksi'!I$4:I$1000, 'INPUT Pembelian &amp; Produksi'!M$4:M$1000, A39) - SUMIFS('INPUT Beban &amp; Kas Keluar'!F$4:F$1000, 'INPUT Beban &amp; Kas Keluar'!G$4:G$1000, B39) - SUMIFS('INPUT Jurnal Penyesuaian'!H$4:H$500, 'INPUT Jurnal Penyesuaian'!F$4:F$500, A39), G39 + SUMIFS('INPUT Penjualan'!K$4:K$1000, 'INPUT Penjualan'!F$4:F$1000, A39) + SUMIFS('INPUT Pembelian &amp; Produksi'!I$4:I$1000, 'INPUT Pembelian &amp; Produksi'!M$4:M$1000, A39) + SUMIFS('INPUT Jurnal Penyesuaian'!H$4:H$500, 'INPUT Jurnal Penyesuaian'!F$4:F$500, A39) - SUMIFS('INPUT Penjualan'!K$4:K$1000, 'INPUT Penjualan'!D$4:D$1000, A39) - SUMIFS('INPUT Pembelian &amp; Produksi'!I$4:I$1000, 'INPUT Pembelian &amp; Produksi'!K$4:K$1000, A39) - SUMIFS('INPUT Beban &amp; Kas Keluar'!F$4:F$1000, 'INPUT Beban &amp; Kas Keluar'!G$4:G$1000, B39) - SUMIFS('INPUT Jurnal Penyesuaian'!H$4:H$500, 'INPUT Jurnal Penyesuaian'!D$4:D$500, A39))
</f>
        <v>5000000</v>
      </c>
    </row>
    <row r="40">
      <c r="A40" s="46" t="s">
        <v>127</v>
      </c>
      <c r="B40" s="46" t="s">
        <v>233</v>
      </c>
      <c r="C40" s="46" t="s">
        <v>228</v>
      </c>
      <c r="D40" s="46" t="s">
        <v>231</v>
      </c>
      <c r="E40" s="46" t="s">
        <v>30</v>
      </c>
      <c r="F40" s="46" t="s">
        <v>210</v>
      </c>
      <c r="G40" s="8">
        <v>0.0</v>
      </c>
      <c r="H40" s="22">
        <f>IF(E40="DB", G40 + SUMIFS('INPUT Penjualan'!K$4:K$1000, 'INPUT Penjualan'!D$4:D$1000, A40) + SUMIFS('INPUT Pembelian &amp; Produksi'!I$4:I$1000, 'INPUT Pembelian &amp; Produksi'!K$4:K$1000, A40) + SUMIFS('INPUT Beban &amp; Kas Keluar'!F$4:F$1000, 'INPUT Beban &amp; Kas Keluar'!C$4:C$1000, A40) + SUMIFS('INPUT Jurnal Penyesuaian'!H$4:H$500, 'INPUT Jurnal Penyesuaian'!D$4:D$500, A40) - SUMIFS('INPUT Penjualan'!K$4:K$1000, 'INPUT Penjualan'!F$4:F$1000, A40) - SUMIFS('INPUT Pembelian &amp; Produksi'!I$4:I$1000, 'INPUT Pembelian &amp; Produksi'!M$4:M$1000, A40) - SUMIFS('INPUT Beban &amp; Kas Keluar'!F$4:F$1000, 'INPUT Beban &amp; Kas Keluar'!G$4:G$1000, B40) - SUMIFS('INPUT Jurnal Penyesuaian'!H$4:H$500, 'INPUT Jurnal Penyesuaian'!F$4:F$500, A40), G40 + SUMIFS('INPUT Penjualan'!K$4:K$1000, 'INPUT Penjualan'!F$4:F$1000, A40) + SUMIFS('INPUT Pembelian &amp; Produksi'!I$4:I$1000, 'INPUT Pembelian &amp; Produksi'!M$4:M$1000, A40) + SUMIFS('INPUT Jurnal Penyesuaian'!H$4:H$500, 'INPUT Jurnal Penyesuaian'!F$4:F$500, A40) - SUMIFS('INPUT Penjualan'!K$4:K$1000, 'INPUT Penjualan'!D$4:D$1000, A40) - SUMIFS('INPUT Pembelian &amp; Produksi'!I$4:I$1000, 'INPUT Pembelian &amp; Produksi'!K$4:K$1000, A40) - SUMIFS('INPUT Beban &amp; Kas Keluar'!F$4:F$1000, 'INPUT Beban &amp; Kas Keluar'!G$4:G$1000, B40) - SUMIFS('INPUT Jurnal Penyesuaian'!H$4:H$500, 'INPUT Jurnal Penyesuaian'!D$4:D$500, A40))
</f>
        <v>1000000</v>
      </c>
    </row>
    <row r="41">
      <c r="A41" s="47" t="s">
        <v>153</v>
      </c>
      <c r="B41" s="47" t="s">
        <v>234</v>
      </c>
      <c r="C41" s="47" t="s">
        <v>235</v>
      </c>
      <c r="D41" s="47" t="s">
        <v>236</v>
      </c>
      <c r="E41" s="47" t="s">
        <v>30</v>
      </c>
      <c r="F41" s="47" t="s">
        <v>210</v>
      </c>
      <c r="G41" s="8">
        <v>0.0</v>
      </c>
      <c r="H41" s="22">
        <f>IF(E41="DB", G41 + SUMIFS('INPUT Penjualan'!K$4:K$1000, 'INPUT Penjualan'!D$4:D$1000, A41) + SUMIFS('INPUT Pembelian &amp; Produksi'!I$4:I$1000, 'INPUT Pembelian &amp; Produksi'!K$4:K$1000, A41) + SUMIFS('INPUT Beban &amp; Kas Keluar'!F$4:F$1000, 'INPUT Beban &amp; Kas Keluar'!C$4:C$1000, A41) + SUMIFS('INPUT Jurnal Penyesuaian'!H$4:H$500, 'INPUT Jurnal Penyesuaian'!D$4:D$500, A41) - SUMIFS('INPUT Penjualan'!K$4:K$1000, 'INPUT Penjualan'!F$4:F$1000, A41) - SUMIFS('INPUT Pembelian &amp; Produksi'!I$4:I$1000, 'INPUT Pembelian &amp; Produksi'!M$4:M$1000, A41) - SUMIFS('INPUT Beban &amp; Kas Keluar'!F$4:F$1000, 'INPUT Beban &amp; Kas Keluar'!G$4:G$1000, B41) - SUMIFS('INPUT Jurnal Penyesuaian'!H$4:H$500, 'INPUT Jurnal Penyesuaian'!F$4:F$500, A41), G41 + SUMIFS('INPUT Penjualan'!K$4:K$1000, 'INPUT Penjualan'!F$4:F$1000, A41) + SUMIFS('INPUT Pembelian &amp; Produksi'!I$4:I$1000, 'INPUT Pembelian &amp; Produksi'!M$4:M$1000, A41) + SUMIFS('INPUT Jurnal Penyesuaian'!H$4:H$500, 'INPUT Jurnal Penyesuaian'!F$4:F$500, A41) - SUMIFS('INPUT Penjualan'!K$4:K$1000, 'INPUT Penjualan'!D$4:D$1000, A41) - SUMIFS('INPUT Pembelian &amp; Produksi'!I$4:I$1000, 'INPUT Pembelian &amp; Produksi'!K$4:K$1000, A41) - SUMIFS('INPUT Beban &amp; Kas Keluar'!F$4:F$1000, 'INPUT Beban &amp; Kas Keluar'!G$4:G$1000, B41) - SUMIFS('INPUT Jurnal Penyesuaian'!H$4:H$500, 'INPUT Jurnal Penyesuaian'!D$4:D$500, A41))
</f>
        <v>5000000</v>
      </c>
    </row>
    <row r="42">
      <c r="A42" s="47" t="s">
        <v>158</v>
      </c>
      <c r="B42" s="47" t="s">
        <v>237</v>
      </c>
      <c r="C42" s="47" t="s">
        <v>235</v>
      </c>
      <c r="D42" s="47" t="s">
        <v>236</v>
      </c>
      <c r="E42" s="47" t="s">
        <v>30</v>
      </c>
      <c r="F42" s="47" t="s">
        <v>210</v>
      </c>
      <c r="G42" s="8">
        <v>0.0</v>
      </c>
      <c r="H42" s="22">
        <f>IF(E42="DB", G42 + SUMIFS('INPUT Penjualan'!K$4:K$1000, 'INPUT Penjualan'!D$4:D$1000, A42) + SUMIFS('INPUT Pembelian &amp; Produksi'!I$4:I$1000, 'INPUT Pembelian &amp; Produksi'!K$4:K$1000, A42) + SUMIFS('INPUT Beban &amp; Kas Keluar'!F$4:F$1000, 'INPUT Beban &amp; Kas Keluar'!C$4:C$1000, A42) + SUMIFS('INPUT Jurnal Penyesuaian'!H$4:H$500, 'INPUT Jurnal Penyesuaian'!D$4:D$500, A42) - SUMIFS('INPUT Penjualan'!K$4:K$1000, 'INPUT Penjualan'!F$4:F$1000, A42) - SUMIFS('INPUT Pembelian &amp; Produksi'!I$4:I$1000, 'INPUT Pembelian &amp; Produksi'!M$4:M$1000, A42) - SUMIFS('INPUT Beban &amp; Kas Keluar'!F$4:F$1000, 'INPUT Beban &amp; Kas Keluar'!G$4:G$1000, B42) - SUMIFS('INPUT Jurnal Penyesuaian'!H$4:H$500, 'INPUT Jurnal Penyesuaian'!F$4:F$500, A42), G42 + SUMIFS('INPUT Penjualan'!K$4:K$1000, 'INPUT Penjualan'!F$4:F$1000, A42) + SUMIFS('INPUT Pembelian &amp; Produksi'!I$4:I$1000, 'INPUT Pembelian &amp; Produksi'!M$4:M$1000, A42) + SUMIFS('INPUT Jurnal Penyesuaian'!H$4:H$500, 'INPUT Jurnal Penyesuaian'!F$4:F$500, A42) - SUMIFS('INPUT Penjualan'!K$4:K$1000, 'INPUT Penjualan'!D$4:D$1000, A42) - SUMIFS('INPUT Pembelian &amp; Produksi'!I$4:I$1000, 'INPUT Pembelian &amp; Produksi'!K$4:K$1000, A42) - SUMIFS('INPUT Beban &amp; Kas Keluar'!F$4:F$1000, 'INPUT Beban &amp; Kas Keluar'!G$4:G$1000, B42) - SUMIFS('INPUT Jurnal Penyesuaian'!H$4:H$500, 'INPUT Jurnal Penyesuaian'!D$4:D$500, A42))
</f>
        <v>2000000</v>
      </c>
    </row>
    <row r="43">
      <c r="A43" s="47" t="s">
        <v>161</v>
      </c>
      <c r="B43" s="47" t="s">
        <v>238</v>
      </c>
      <c r="C43" s="47" t="s">
        <v>235</v>
      </c>
      <c r="D43" s="47" t="s">
        <v>236</v>
      </c>
      <c r="E43" s="47" t="s">
        <v>30</v>
      </c>
      <c r="F43" s="47" t="s">
        <v>210</v>
      </c>
      <c r="G43" s="8">
        <v>0.0</v>
      </c>
      <c r="H43" s="22">
        <f>IF(E43="DB", G43 + SUMIFS('INPUT Penjualan'!K$4:K$1000, 'INPUT Penjualan'!D$4:D$1000, A43) + SUMIFS('INPUT Pembelian &amp; Produksi'!I$4:I$1000, 'INPUT Pembelian &amp; Produksi'!K$4:K$1000, A43) + SUMIFS('INPUT Beban &amp; Kas Keluar'!F$4:F$1000, 'INPUT Beban &amp; Kas Keluar'!C$4:C$1000, A43) + SUMIFS('INPUT Jurnal Penyesuaian'!H$4:H$500, 'INPUT Jurnal Penyesuaian'!D$4:D$500, A43) - SUMIFS('INPUT Penjualan'!K$4:K$1000, 'INPUT Penjualan'!F$4:F$1000, A43) - SUMIFS('INPUT Pembelian &amp; Produksi'!I$4:I$1000, 'INPUT Pembelian &amp; Produksi'!M$4:M$1000, A43) - SUMIFS('INPUT Beban &amp; Kas Keluar'!F$4:F$1000, 'INPUT Beban &amp; Kas Keluar'!G$4:G$1000, B43) - SUMIFS('INPUT Jurnal Penyesuaian'!H$4:H$500, 'INPUT Jurnal Penyesuaian'!F$4:F$500, A43), G43 + SUMIFS('INPUT Penjualan'!K$4:K$1000, 'INPUT Penjualan'!F$4:F$1000, A43) + SUMIFS('INPUT Pembelian &amp; Produksi'!I$4:I$1000, 'INPUT Pembelian &amp; Produksi'!M$4:M$1000, A43) + SUMIFS('INPUT Jurnal Penyesuaian'!H$4:H$500, 'INPUT Jurnal Penyesuaian'!F$4:F$500, A43) - SUMIFS('INPUT Penjualan'!K$4:K$1000, 'INPUT Penjualan'!D$4:D$1000, A43) - SUMIFS('INPUT Pembelian &amp; Produksi'!I$4:I$1000, 'INPUT Pembelian &amp; Produksi'!K$4:K$1000, A43) - SUMIFS('INPUT Beban &amp; Kas Keluar'!F$4:F$1000, 'INPUT Beban &amp; Kas Keluar'!G$4:G$1000, B43) - SUMIFS('INPUT Jurnal Penyesuaian'!H$4:H$500, 'INPUT Jurnal Penyesuaian'!D$4:D$500, A43))
</f>
        <v>500000</v>
      </c>
    </row>
    <row r="44">
      <c r="A44" s="47" t="s">
        <v>164</v>
      </c>
      <c r="B44" s="47" t="s">
        <v>239</v>
      </c>
      <c r="C44" s="47" t="s">
        <v>235</v>
      </c>
      <c r="D44" s="47" t="s">
        <v>236</v>
      </c>
      <c r="E44" s="47" t="s">
        <v>30</v>
      </c>
      <c r="F44" s="47" t="s">
        <v>210</v>
      </c>
      <c r="G44" s="8">
        <v>0.0</v>
      </c>
      <c r="H44" s="22">
        <f>IF(E44="DB", G44 + SUMIFS('INPUT Penjualan'!K$4:K$1000, 'INPUT Penjualan'!D$4:D$1000, A44) + SUMIFS('INPUT Pembelian &amp; Produksi'!I$4:I$1000, 'INPUT Pembelian &amp; Produksi'!K$4:K$1000, A44) + SUMIFS('INPUT Beban &amp; Kas Keluar'!F$4:F$1000, 'INPUT Beban &amp; Kas Keluar'!C$4:C$1000, A44) + SUMIFS('INPUT Jurnal Penyesuaian'!H$4:H$500, 'INPUT Jurnal Penyesuaian'!D$4:D$500, A44) - SUMIFS('INPUT Penjualan'!K$4:K$1000, 'INPUT Penjualan'!F$4:F$1000, A44) - SUMIFS('INPUT Pembelian &amp; Produksi'!I$4:I$1000, 'INPUT Pembelian &amp; Produksi'!M$4:M$1000, A44) - SUMIFS('INPUT Beban &amp; Kas Keluar'!F$4:F$1000, 'INPUT Beban &amp; Kas Keluar'!G$4:G$1000, B44) - SUMIFS('INPUT Jurnal Penyesuaian'!H$4:H$500, 'INPUT Jurnal Penyesuaian'!F$4:F$500, A44), G44 + SUMIFS('INPUT Penjualan'!K$4:K$1000, 'INPUT Penjualan'!F$4:F$1000, A44) + SUMIFS('INPUT Pembelian &amp; Produksi'!I$4:I$1000, 'INPUT Pembelian &amp; Produksi'!M$4:M$1000, A44) + SUMIFS('INPUT Jurnal Penyesuaian'!H$4:H$500, 'INPUT Jurnal Penyesuaian'!F$4:F$500, A44) - SUMIFS('INPUT Penjualan'!K$4:K$1000, 'INPUT Penjualan'!D$4:D$1000, A44) - SUMIFS('INPUT Pembelian &amp; Produksi'!I$4:I$1000, 'INPUT Pembelian &amp; Produksi'!K$4:K$1000, A44) - SUMIFS('INPUT Beban &amp; Kas Keluar'!F$4:F$1000, 'INPUT Beban &amp; Kas Keluar'!G$4:G$1000, B44) - SUMIFS('INPUT Jurnal Penyesuaian'!H$4:H$500, 'INPUT Jurnal Penyesuaian'!D$4:D$500, A44))
</f>
        <v>1000000</v>
      </c>
    </row>
    <row r="45">
      <c r="A45" s="47" t="s">
        <v>169</v>
      </c>
      <c r="B45" s="47" t="s">
        <v>240</v>
      </c>
      <c r="C45" s="47" t="s">
        <v>235</v>
      </c>
      <c r="D45" s="47" t="s">
        <v>236</v>
      </c>
      <c r="E45" s="47" t="s">
        <v>30</v>
      </c>
      <c r="F45" s="47" t="s">
        <v>210</v>
      </c>
      <c r="G45" s="8">
        <v>0.0</v>
      </c>
      <c r="H45" s="22">
        <f>IF(E45="DB", G45 + SUMIFS('INPUT Penjualan'!K$4:K$1000, 'INPUT Penjualan'!D$4:D$1000, A45) + SUMIFS('INPUT Pembelian &amp; Produksi'!I$4:I$1000, 'INPUT Pembelian &amp; Produksi'!K$4:K$1000, A45) + SUMIFS('INPUT Beban &amp; Kas Keluar'!F$4:F$1000, 'INPUT Beban &amp; Kas Keluar'!C$4:C$1000, A45) + SUMIFS('INPUT Jurnal Penyesuaian'!H$4:H$500, 'INPUT Jurnal Penyesuaian'!D$4:D$500, A45) - SUMIFS('INPUT Penjualan'!K$4:K$1000, 'INPUT Penjualan'!F$4:F$1000, A45) - SUMIFS('INPUT Pembelian &amp; Produksi'!I$4:I$1000, 'INPUT Pembelian &amp; Produksi'!M$4:M$1000, A45) - SUMIFS('INPUT Beban &amp; Kas Keluar'!F$4:F$1000, 'INPUT Beban &amp; Kas Keluar'!G$4:G$1000, B45) - SUMIFS('INPUT Jurnal Penyesuaian'!H$4:H$500, 'INPUT Jurnal Penyesuaian'!F$4:F$500, A45), G45 + SUMIFS('INPUT Penjualan'!K$4:K$1000, 'INPUT Penjualan'!F$4:F$1000, A45) + SUMIFS('INPUT Pembelian &amp; Produksi'!I$4:I$1000, 'INPUT Pembelian &amp; Produksi'!M$4:M$1000, A45) + SUMIFS('INPUT Jurnal Penyesuaian'!H$4:H$500, 'INPUT Jurnal Penyesuaian'!F$4:F$500, A45) - SUMIFS('INPUT Penjualan'!K$4:K$1000, 'INPUT Penjualan'!D$4:D$1000, A45) - SUMIFS('INPUT Pembelian &amp; Produksi'!I$4:I$1000, 'INPUT Pembelian &amp; Produksi'!K$4:K$1000, A45) - SUMIFS('INPUT Beban &amp; Kas Keluar'!F$4:F$1000, 'INPUT Beban &amp; Kas Keluar'!G$4:G$1000, B45) - SUMIFS('INPUT Jurnal Penyesuaian'!H$4:H$500, 'INPUT Jurnal Penyesuaian'!D$4:D$500, A45))
</f>
        <v>100000</v>
      </c>
    </row>
    <row r="46">
      <c r="A46" s="47" t="s">
        <v>241</v>
      </c>
      <c r="B46" s="47" t="s">
        <v>242</v>
      </c>
      <c r="C46" s="47" t="s">
        <v>235</v>
      </c>
      <c r="D46" s="47" t="s">
        <v>236</v>
      </c>
      <c r="E46" s="47" t="s">
        <v>30</v>
      </c>
      <c r="F46" s="47" t="s">
        <v>210</v>
      </c>
      <c r="G46" s="8">
        <v>0.0</v>
      </c>
      <c r="H46" s="22">
        <f>IF(E46="DB", G46 + SUMIFS('INPUT Penjualan'!K$4:K$1000, 'INPUT Penjualan'!D$4:D$1000, A46) + SUMIFS('INPUT Pembelian &amp; Produksi'!I$4:I$1000, 'INPUT Pembelian &amp; Produksi'!K$4:K$1000, A46) + SUMIFS('INPUT Beban &amp; Kas Keluar'!F$4:F$1000, 'INPUT Beban &amp; Kas Keluar'!C$4:C$1000, A46) + SUMIFS('INPUT Jurnal Penyesuaian'!H$4:H$500, 'INPUT Jurnal Penyesuaian'!D$4:D$500, A46) - SUMIFS('INPUT Penjualan'!K$4:K$1000, 'INPUT Penjualan'!F$4:F$1000, A46) - SUMIFS('INPUT Pembelian &amp; Produksi'!I$4:I$1000, 'INPUT Pembelian &amp; Produksi'!M$4:M$1000, A46) - SUMIFS('INPUT Beban &amp; Kas Keluar'!F$4:F$1000, 'INPUT Beban &amp; Kas Keluar'!G$4:G$1000, B46) - SUMIFS('INPUT Jurnal Penyesuaian'!H$4:H$500, 'INPUT Jurnal Penyesuaian'!F$4:F$500, A46), G46 + SUMIFS('INPUT Penjualan'!K$4:K$1000, 'INPUT Penjualan'!F$4:F$1000, A46) + SUMIFS('INPUT Pembelian &amp; Produksi'!I$4:I$1000, 'INPUT Pembelian &amp; Produksi'!M$4:M$1000, A46) + SUMIFS('INPUT Jurnal Penyesuaian'!H$4:H$500, 'INPUT Jurnal Penyesuaian'!F$4:F$500, A46) - SUMIFS('INPUT Penjualan'!K$4:K$1000, 'INPUT Penjualan'!D$4:D$1000, A46) - SUMIFS('INPUT Pembelian &amp; Produksi'!I$4:I$1000, 'INPUT Pembelian &amp; Produksi'!K$4:K$1000, A46) - SUMIFS('INPUT Beban &amp; Kas Keluar'!F$4:F$1000, 'INPUT Beban &amp; Kas Keluar'!G$4:G$1000, B46) - SUMIFS('INPUT Jurnal Penyesuaian'!H$4:H$500, 'INPUT Jurnal Penyesuaian'!D$4:D$500, A46))
</f>
        <v>200000</v>
      </c>
    </row>
    <row r="47">
      <c r="A47" s="47" t="s">
        <v>172</v>
      </c>
      <c r="B47" s="47" t="s">
        <v>243</v>
      </c>
      <c r="C47" s="47" t="s">
        <v>235</v>
      </c>
      <c r="D47" s="47" t="s">
        <v>236</v>
      </c>
      <c r="E47" s="47" t="s">
        <v>30</v>
      </c>
      <c r="F47" s="47" t="s">
        <v>210</v>
      </c>
      <c r="G47" s="8">
        <v>0.0</v>
      </c>
      <c r="H47" s="22">
        <f>IF(E47="DB", G47 + SUMIFS('INPUT Penjualan'!K$4:K$1000, 'INPUT Penjualan'!D$4:D$1000, A47) + SUMIFS('INPUT Pembelian &amp; Produksi'!I$4:I$1000, 'INPUT Pembelian &amp; Produksi'!K$4:K$1000, A47) + SUMIFS('INPUT Beban &amp; Kas Keluar'!F$4:F$1000, 'INPUT Beban &amp; Kas Keluar'!C$4:C$1000, A47) + SUMIFS('INPUT Jurnal Penyesuaian'!H$4:H$500, 'INPUT Jurnal Penyesuaian'!D$4:D$500, A47) - SUMIFS('INPUT Penjualan'!K$4:K$1000, 'INPUT Penjualan'!F$4:F$1000, A47) - SUMIFS('INPUT Pembelian &amp; Produksi'!I$4:I$1000, 'INPUT Pembelian &amp; Produksi'!M$4:M$1000, A47) - SUMIFS('INPUT Beban &amp; Kas Keluar'!F$4:F$1000, 'INPUT Beban &amp; Kas Keluar'!G$4:G$1000, B47) - SUMIFS('INPUT Jurnal Penyesuaian'!H$4:H$500, 'INPUT Jurnal Penyesuaian'!F$4:F$500, A47), G47 + SUMIFS('INPUT Penjualan'!K$4:K$1000, 'INPUT Penjualan'!F$4:F$1000, A47) + SUMIFS('INPUT Pembelian &amp; Produksi'!I$4:I$1000, 'INPUT Pembelian &amp; Produksi'!M$4:M$1000, A47) + SUMIFS('INPUT Jurnal Penyesuaian'!H$4:H$500, 'INPUT Jurnal Penyesuaian'!F$4:F$500, A47) - SUMIFS('INPUT Penjualan'!K$4:K$1000, 'INPUT Penjualan'!D$4:D$1000, A47) - SUMIFS('INPUT Pembelian &amp; Produksi'!I$4:I$1000, 'INPUT Pembelian &amp; Produksi'!K$4:K$1000, A47) - SUMIFS('INPUT Beban &amp; Kas Keluar'!F$4:F$1000, 'INPUT Beban &amp; Kas Keluar'!G$4:G$1000, B47) - SUMIFS('INPUT Jurnal Penyesuaian'!H$4:H$500, 'INPUT Jurnal Penyesuaian'!D$4:D$500, A47))
</f>
        <v>50000</v>
      </c>
    </row>
    <row r="48">
      <c r="A48" s="47" t="s">
        <v>244</v>
      </c>
      <c r="B48" s="47" t="s">
        <v>245</v>
      </c>
      <c r="C48" s="47" t="s">
        <v>235</v>
      </c>
      <c r="D48" s="47" t="s">
        <v>236</v>
      </c>
      <c r="E48" s="47" t="s">
        <v>30</v>
      </c>
      <c r="F48" s="47" t="s">
        <v>210</v>
      </c>
      <c r="G48" s="8">
        <v>0.0</v>
      </c>
      <c r="H48" s="22">
        <f>IF(E48="DB", G48 + SUMIFS('INPUT Penjualan'!K$4:K$1000, 'INPUT Penjualan'!D$4:D$1000, A48) + SUMIFS('INPUT Pembelian &amp; Produksi'!I$4:I$1000, 'INPUT Pembelian &amp; Produksi'!K$4:K$1000, A48) + SUMIFS('INPUT Beban &amp; Kas Keluar'!F$4:F$1000, 'INPUT Beban &amp; Kas Keluar'!C$4:C$1000, A48) + SUMIFS('INPUT Jurnal Penyesuaian'!H$4:H$500, 'INPUT Jurnal Penyesuaian'!D$4:D$500, A48) - SUMIFS('INPUT Penjualan'!K$4:K$1000, 'INPUT Penjualan'!F$4:F$1000, A48) - SUMIFS('INPUT Pembelian &amp; Produksi'!I$4:I$1000, 'INPUT Pembelian &amp; Produksi'!M$4:M$1000, A48) - SUMIFS('INPUT Beban &amp; Kas Keluar'!F$4:F$1000, 'INPUT Beban &amp; Kas Keluar'!G$4:G$1000, B48) - SUMIFS('INPUT Jurnal Penyesuaian'!H$4:H$500, 'INPUT Jurnal Penyesuaian'!F$4:F$500, A48), G48 + SUMIFS('INPUT Penjualan'!K$4:K$1000, 'INPUT Penjualan'!F$4:F$1000, A48) + SUMIFS('INPUT Pembelian &amp; Produksi'!I$4:I$1000, 'INPUT Pembelian &amp; Produksi'!M$4:M$1000, A48) + SUMIFS('INPUT Jurnal Penyesuaian'!H$4:H$500, 'INPUT Jurnal Penyesuaian'!F$4:F$500, A48) - SUMIFS('INPUT Penjualan'!K$4:K$1000, 'INPUT Penjualan'!D$4:D$1000, A48) - SUMIFS('INPUT Pembelian &amp; Produksi'!I$4:I$1000, 'INPUT Pembelian &amp; Produksi'!K$4:K$1000, A48) - SUMIFS('INPUT Beban &amp; Kas Keluar'!F$4:F$1000, 'INPUT Beban &amp; Kas Keluar'!G$4:G$1000, B48) - SUMIFS('INPUT Jurnal Penyesuaian'!H$4:H$500, 'INPUT Jurnal Penyesuaian'!D$4:D$500, A48))
</f>
        <v>0</v>
      </c>
    </row>
    <row r="49">
      <c r="A49" s="47" t="s">
        <v>246</v>
      </c>
      <c r="B49" s="47" t="s">
        <v>247</v>
      </c>
      <c r="C49" s="47" t="s">
        <v>235</v>
      </c>
      <c r="D49" s="47" t="s">
        <v>248</v>
      </c>
      <c r="E49" s="47" t="s">
        <v>30</v>
      </c>
      <c r="F49" s="47" t="s">
        <v>210</v>
      </c>
      <c r="G49" s="8">
        <v>0.0</v>
      </c>
      <c r="H49" s="22">
        <f>IF(E49="DB", G49 + SUMIFS('INPUT Penjualan'!K$4:K$1000, 'INPUT Penjualan'!D$4:D$1000, A49) + SUMIFS('INPUT Pembelian &amp; Produksi'!I$4:I$1000, 'INPUT Pembelian &amp; Produksi'!K$4:K$1000, A49) + SUMIFS('INPUT Beban &amp; Kas Keluar'!F$4:F$1000, 'INPUT Beban &amp; Kas Keluar'!C$4:C$1000, A49) + SUMIFS('INPUT Jurnal Penyesuaian'!H$4:H$500, 'INPUT Jurnal Penyesuaian'!D$4:D$500, A49) - SUMIFS('INPUT Penjualan'!K$4:K$1000, 'INPUT Penjualan'!F$4:F$1000, A49) - SUMIFS('INPUT Pembelian &amp; Produksi'!I$4:I$1000, 'INPUT Pembelian &amp; Produksi'!M$4:M$1000, A49) - SUMIFS('INPUT Beban &amp; Kas Keluar'!F$4:F$1000, 'INPUT Beban &amp; Kas Keluar'!G$4:G$1000, B49) - SUMIFS('INPUT Jurnal Penyesuaian'!H$4:H$500, 'INPUT Jurnal Penyesuaian'!F$4:F$500, A49), G49 + SUMIFS('INPUT Penjualan'!K$4:K$1000, 'INPUT Penjualan'!F$4:F$1000, A49) + SUMIFS('INPUT Pembelian &amp; Produksi'!I$4:I$1000, 'INPUT Pembelian &amp; Produksi'!M$4:M$1000, A49) + SUMIFS('INPUT Jurnal Penyesuaian'!H$4:H$500, 'INPUT Jurnal Penyesuaian'!F$4:F$500, A49) - SUMIFS('INPUT Penjualan'!K$4:K$1000, 'INPUT Penjualan'!D$4:D$1000, A49) - SUMIFS('INPUT Pembelian &amp; Produksi'!I$4:I$1000, 'INPUT Pembelian &amp; Produksi'!K$4:K$1000, A49) - SUMIFS('INPUT Beban &amp; Kas Keluar'!F$4:F$1000, 'INPUT Beban &amp; Kas Keluar'!G$4:G$1000, B49) - SUMIFS('INPUT Jurnal Penyesuaian'!H$4:H$500, 'INPUT Jurnal Penyesuaian'!D$4:D$500, A49))
</f>
        <v>0</v>
      </c>
    </row>
    <row r="50">
      <c r="A50" s="9" t="s">
        <v>175</v>
      </c>
      <c r="B50" s="9" t="s">
        <v>249</v>
      </c>
      <c r="C50" s="47" t="s">
        <v>235</v>
      </c>
      <c r="D50" s="47" t="s">
        <v>236</v>
      </c>
      <c r="E50" s="47" t="s">
        <v>30</v>
      </c>
      <c r="F50" s="47" t="s">
        <v>210</v>
      </c>
      <c r="G50" s="8">
        <v>0.0</v>
      </c>
      <c r="H50" s="22">
        <f>IF(E50="DB", G50 + SUMIFS('INPUT Penjualan'!K$4:K$1000, 'INPUT Penjualan'!D$4:D$1000, A50) + SUMIFS('INPUT Pembelian &amp; Produksi'!I$4:I$1000, 'INPUT Pembelian &amp; Produksi'!K$4:K$1000, A50) + SUMIFS('INPUT Beban &amp; Kas Keluar'!F$4:F$1000, 'INPUT Beban &amp; Kas Keluar'!C$4:C$1000, A50) + SUMIFS('INPUT Jurnal Penyesuaian'!H$4:H$500, 'INPUT Jurnal Penyesuaian'!D$4:D$500, A50) - SUMIFS('INPUT Penjualan'!K$4:K$1000, 'INPUT Penjualan'!F$4:F$1000, A50) - SUMIFS('INPUT Pembelian &amp; Produksi'!I$4:I$1000, 'INPUT Pembelian &amp; Produksi'!M$4:M$1000, A50) - SUMIFS('INPUT Beban &amp; Kas Keluar'!F$4:F$1000, 'INPUT Beban &amp; Kas Keluar'!G$4:G$1000, B50) - SUMIFS('INPUT Jurnal Penyesuaian'!H$4:H$500, 'INPUT Jurnal Penyesuaian'!F$4:F$500, A50), G50 + SUMIFS('INPUT Penjualan'!K$4:K$1000, 'INPUT Penjualan'!F$4:F$1000, A50) + SUMIFS('INPUT Pembelian &amp; Produksi'!I$4:I$1000, 'INPUT Pembelian &amp; Produksi'!M$4:M$1000, A50) + SUMIFS('INPUT Jurnal Penyesuaian'!H$4:H$500, 'INPUT Jurnal Penyesuaian'!F$4:F$500, A50) - SUMIFS('INPUT Penjualan'!K$4:K$1000, 'INPUT Penjualan'!D$4:D$1000, A50) - SUMIFS('INPUT Pembelian &amp; Produksi'!I$4:I$1000, 'INPUT Pembelian &amp; Produksi'!K$4:K$1000, A50) - SUMIFS('INPUT Beban &amp; Kas Keluar'!F$4:F$1000, 'INPUT Beban &amp; Kas Keluar'!G$4:G$1000, B50) - SUMIFS('INPUT Jurnal Penyesuaian'!H$4:H$500, 'INPUT Jurnal Penyesuaian'!D$4:D$500, A50))
</f>
        <v>500000</v>
      </c>
    </row>
    <row r="51">
      <c r="G51" s="22"/>
    </row>
    <row r="52">
      <c r="G52" s="22"/>
    </row>
    <row r="53">
      <c r="G53" s="22"/>
    </row>
    <row r="54">
      <c r="G54" s="22"/>
    </row>
    <row r="55">
      <c r="G55" s="22"/>
    </row>
    <row r="56">
      <c r="G56" s="22"/>
    </row>
    <row r="57">
      <c r="G57" s="22"/>
    </row>
    <row r="58">
      <c r="G58" s="22"/>
    </row>
    <row r="59">
      <c r="G59" s="22"/>
    </row>
    <row r="60">
      <c r="G60" s="22"/>
    </row>
    <row r="61">
      <c r="G61" s="22"/>
    </row>
    <row r="62">
      <c r="G62" s="22"/>
    </row>
    <row r="63">
      <c r="G63" s="22"/>
    </row>
    <row r="64">
      <c r="G64" s="22"/>
    </row>
    <row r="65">
      <c r="G65" s="22"/>
    </row>
    <row r="66">
      <c r="G66" s="22"/>
    </row>
    <row r="67">
      <c r="G67" s="22"/>
    </row>
    <row r="68">
      <c r="G68" s="22"/>
    </row>
    <row r="69">
      <c r="G69" s="22"/>
    </row>
    <row r="70">
      <c r="G70" s="22"/>
    </row>
    <row r="71">
      <c r="G71" s="22"/>
    </row>
    <row r="72">
      <c r="G72" s="22"/>
    </row>
    <row r="73">
      <c r="G73" s="22"/>
    </row>
    <row r="74">
      <c r="G74" s="22"/>
    </row>
    <row r="75">
      <c r="G75" s="22"/>
    </row>
    <row r="76">
      <c r="G76" s="22"/>
    </row>
    <row r="77">
      <c r="G77" s="22"/>
    </row>
    <row r="78">
      <c r="G78" s="22"/>
    </row>
    <row r="79">
      <c r="G79" s="22"/>
    </row>
    <row r="80">
      <c r="G80" s="22"/>
    </row>
    <row r="81">
      <c r="G81" s="22"/>
    </row>
    <row r="82">
      <c r="G82" s="22"/>
    </row>
    <row r="83">
      <c r="G83" s="22"/>
    </row>
    <row r="84">
      <c r="G84" s="22"/>
    </row>
    <row r="85">
      <c r="G85" s="22"/>
    </row>
    <row r="86">
      <c r="G86" s="22"/>
    </row>
    <row r="87">
      <c r="G87" s="22"/>
    </row>
    <row r="88">
      <c r="G88" s="22"/>
    </row>
    <row r="89">
      <c r="G89" s="22"/>
    </row>
    <row r="90">
      <c r="G90" s="22"/>
    </row>
    <row r="91">
      <c r="G91" s="22"/>
    </row>
    <row r="92">
      <c r="G92" s="22"/>
    </row>
    <row r="93">
      <c r="G93" s="22"/>
    </row>
    <row r="94">
      <c r="G94" s="22"/>
    </row>
    <row r="95">
      <c r="G95" s="22"/>
    </row>
    <row r="96">
      <c r="G96" s="22"/>
    </row>
    <row r="97">
      <c r="G97" s="22"/>
    </row>
    <row r="98">
      <c r="G98" s="22"/>
    </row>
    <row r="99">
      <c r="G99" s="22"/>
    </row>
    <row r="100">
      <c r="G100" s="22"/>
    </row>
    <row r="101">
      <c r="G101" s="22"/>
    </row>
    <row r="102">
      <c r="G102" s="22"/>
    </row>
    <row r="103">
      <c r="G103" s="22"/>
    </row>
    <row r="104">
      <c r="G104" s="22"/>
    </row>
    <row r="105">
      <c r="G105" s="22"/>
    </row>
    <row r="106">
      <c r="G106" s="22"/>
    </row>
    <row r="107">
      <c r="G107" s="22"/>
    </row>
    <row r="108">
      <c r="G108" s="22"/>
    </row>
    <row r="109">
      <c r="G109" s="22"/>
    </row>
    <row r="110">
      <c r="G110" s="22"/>
    </row>
    <row r="111">
      <c r="G111" s="22"/>
    </row>
    <row r="112">
      <c r="G112" s="22"/>
    </row>
    <row r="113">
      <c r="G113" s="22"/>
    </row>
    <row r="114">
      <c r="G114" s="22"/>
    </row>
    <row r="115">
      <c r="G115" s="22"/>
    </row>
    <row r="116">
      <c r="G116" s="22"/>
    </row>
    <row r="117">
      <c r="G117" s="22"/>
    </row>
    <row r="118">
      <c r="G118" s="22"/>
    </row>
    <row r="119">
      <c r="G119" s="22"/>
    </row>
    <row r="120">
      <c r="G120" s="22"/>
    </row>
    <row r="121">
      <c r="G121" s="22"/>
    </row>
    <row r="122">
      <c r="G122" s="22"/>
    </row>
    <row r="123">
      <c r="G123" s="22"/>
    </row>
    <row r="124">
      <c r="G124" s="22"/>
    </row>
    <row r="125">
      <c r="G125" s="22"/>
    </row>
    <row r="126">
      <c r="G126" s="22"/>
    </row>
    <row r="127">
      <c r="G127" s="22"/>
    </row>
    <row r="128">
      <c r="G128" s="22"/>
    </row>
    <row r="129">
      <c r="G129" s="22"/>
    </row>
    <row r="130">
      <c r="G130" s="22"/>
    </row>
    <row r="131">
      <c r="G131" s="22"/>
    </row>
    <row r="132">
      <c r="G132" s="22"/>
    </row>
    <row r="133">
      <c r="G133" s="22"/>
    </row>
    <row r="134">
      <c r="G134" s="22"/>
    </row>
    <row r="135">
      <c r="G135" s="22"/>
    </row>
    <row r="136">
      <c r="G136" s="22"/>
    </row>
    <row r="137">
      <c r="G137" s="22"/>
    </row>
    <row r="138">
      <c r="G138" s="22"/>
    </row>
    <row r="139">
      <c r="G139" s="22"/>
    </row>
    <row r="140">
      <c r="G140" s="22"/>
    </row>
    <row r="141">
      <c r="G141" s="22"/>
    </row>
    <row r="142">
      <c r="G142" s="22"/>
    </row>
    <row r="143">
      <c r="G143" s="22"/>
    </row>
    <row r="144">
      <c r="G144" s="22"/>
    </row>
    <row r="145">
      <c r="G145" s="22"/>
    </row>
    <row r="146">
      <c r="G146" s="22"/>
    </row>
    <row r="147">
      <c r="G147" s="22"/>
    </row>
    <row r="148">
      <c r="G148" s="22"/>
    </row>
    <row r="149">
      <c r="G149" s="22"/>
    </row>
    <row r="150">
      <c r="G150" s="22"/>
    </row>
    <row r="151">
      <c r="G151" s="22"/>
    </row>
    <row r="152">
      <c r="G152" s="22"/>
    </row>
    <row r="153">
      <c r="G153" s="22"/>
    </row>
    <row r="154">
      <c r="G154" s="22"/>
    </row>
    <row r="155">
      <c r="G155" s="22"/>
    </row>
    <row r="156">
      <c r="G156" s="22"/>
    </row>
    <row r="157">
      <c r="G157" s="22"/>
    </row>
    <row r="158">
      <c r="G158" s="22"/>
    </row>
    <row r="159">
      <c r="G159" s="22"/>
    </row>
    <row r="160">
      <c r="G160" s="22"/>
    </row>
    <row r="161">
      <c r="G161" s="22"/>
    </row>
    <row r="162">
      <c r="G162" s="22"/>
    </row>
    <row r="163">
      <c r="G163" s="22"/>
    </row>
    <row r="164">
      <c r="G164" s="22"/>
    </row>
    <row r="165">
      <c r="G165" s="22"/>
    </row>
    <row r="166">
      <c r="G166" s="22"/>
    </row>
    <row r="167">
      <c r="G167" s="22"/>
    </row>
    <row r="168">
      <c r="G168" s="22"/>
    </row>
    <row r="169">
      <c r="G169" s="22"/>
    </row>
    <row r="170">
      <c r="G170" s="22"/>
    </row>
    <row r="171">
      <c r="G171" s="22"/>
    </row>
    <row r="172">
      <c r="G172" s="22"/>
    </row>
    <row r="173">
      <c r="G173" s="22"/>
    </row>
    <row r="174">
      <c r="G174" s="22"/>
    </row>
    <row r="175">
      <c r="G175" s="22"/>
    </row>
    <row r="176">
      <c r="G176" s="22"/>
    </row>
    <row r="177">
      <c r="G177" s="22"/>
    </row>
    <row r="178">
      <c r="G178" s="22"/>
    </row>
    <row r="179">
      <c r="G179" s="22"/>
    </row>
    <row r="180">
      <c r="G180" s="22"/>
    </row>
    <row r="181">
      <c r="G181" s="22"/>
    </row>
    <row r="182">
      <c r="G182" s="22"/>
    </row>
    <row r="183">
      <c r="G183" s="22"/>
    </row>
    <row r="184">
      <c r="G184" s="22"/>
    </row>
    <row r="185">
      <c r="G185" s="22"/>
    </row>
    <row r="186">
      <c r="G186" s="22"/>
    </row>
    <row r="187">
      <c r="G187" s="22"/>
    </row>
    <row r="188">
      <c r="G188" s="22"/>
    </row>
    <row r="189">
      <c r="G189" s="22"/>
    </row>
    <row r="190">
      <c r="G190" s="22"/>
    </row>
    <row r="191">
      <c r="G191" s="22"/>
    </row>
    <row r="192">
      <c r="G192" s="22"/>
    </row>
    <row r="193">
      <c r="G193" s="22"/>
    </row>
    <row r="194">
      <c r="G194" s="22"/>
    </row>
    <row r="195">
      <c r="G195" s="22"/>
    </row>
    <row r="196">
      <c r="G196" s="22"/>
    </row>
    <row r="197">
      <c r="G197" s="22"/>
    </row>
    <row r="198">
      <c r="G198" s="22"/>
    </row>
    <row r="199">
      <c r="G199" s="22"/>
    </row>
    <row r="200">
      <c r="G200" s="22"/>
    </row>
    <row r="201">
      <c r="G201" s="22"/>
    </row>
    <row r="202">
      <c r="G202" s="22"/>
    </row>
    <row r="203">
      <c r="G203" s="22"/>
    </row>
    <row r="204">
      <c r="G204" s="22"/>
    </row>
    <row r="205">
      <c r="G205" s="22"/>
    </row>
    <row r="206">
      <c r="G206" s="22"/>
    </row>
    <row r="207">
      <c r="G207" s="22"/>
    </row>
    <row r="208">
      <c r="G208" s="22"/>
    </row>
    <row r="209">
      <c r="G209" s="22"/>
    </row>
    <row r="210">
      <c r="G210" s="22"/>
    </row>
    <row r="211">
      <c r="G211" s="22"/>
    </row>
    <row r="212">
      <c r="G212" s="22"/>
    </row>
    <row r="213">
      <c r="G213" s="22"/>
    </row>
    <row r="214">
      <c r="G214" s="22"/>
    </row>
    <row r="215">
      <c r="G215" s="22"/>
    </row>
    <row r="216">
      <c r="G216" s="22"/>
    </row>
    <row r="217">
      <c r="G217" s="22"/>
    </row>
    <row r="218">
      <c r="G218" s="22"/>
    </row>
    <row r="219">
      <c r="G219" s="22"/>
    </row>
    <row r="220">
      <c r="G220" s="22"/>
    </row>
    <row r="221">
      <c r="G221" s="22"/>
    </row>
    <row r="222">
      <c r="G222" s="22"/>
    </row>
    <row r="223">
      <c r="G223" s="22"/>
    </row>
    <row r="224">
      <c r="G224" s="22"/>
    </row>
    <row r="225">
      <c r="G225" s="22"/>
    </row>
    <row r="226">
      <c r="G226" s="22"/>
    </row>
    <row r="227">
      <c r="G227" s="22"/>
    </row>
    <row r="228">
      <c r="G228" s="22"/>
    </row>
    <row r="229">
      <c r="G229" s="22"/>
    </row>
    <row r="230">
      <c r="G230" s="22"/>
    </row>
    <row r="231">
      <c r="G231" s="22"/>
    </row>
    <row r="232">
      <c r="G232" s="22"/>
    </row>
    <row r="233">
      <c r="G233" s="22"/>
    </row>
    <row r="234">
      <c r="G234" s="22"/>
    </row>
    <row r="235">
      <c r="G235" s="22"/>
    </row>
    <row r="236">
      <c r="G236" s="22"/>
    </row>
    <row r="237">
      <c r="G237" s="22"/>
    </row>
    <row r="238">
      <c r="G238" s="22"/>
    </row>
    <row r="239">
      <c r="G239" s="22"/>
    </row>
    <row r="240">
      <c r="G240" s="22"/>
    </row>
    <row r="241">
      <c r="G241" s="22"/>
    </row>
    <row r="242">
      <c r="G242" s="22"/>
    </row>
    <row r="243">
      <c r="G243" s="22"/>
    </row>
    <row r="244">
      <c r="G244" s="22"/>
    </row>
    <row r="245">
      <c r="G245" s="22"/>
    </row>
    <row r="246">
      <c r="G246" s="22"/>
    </row>
    <row r="247">
      <c r="G247" s="22"/>
    </row>
    <row r="248">
      <c r="G248" s="22"/>
    </row>
    <row r="249">
      <c r="G249" s="22"/>
    </row>
    <row r="250">
      <c r="G250" s="22"/>
    </row>
    <row r="251">
      <c r="G251" s="22"/>
    </row>
    <row r="252">
      <c r="G252" s="22"/>
    </row>
    <row r="253">
      <c r="G253" s="22"/>
    </row>
    <row r="254">
      <c r="G254" s="22"/>
    </row>
    <row r="255">
      <c r="G255" s="22"/>
    </row>
    <row r="256">
      <c r="G256" s="22"/>
    </row>
    <row r="257">
      <c r="G257" s="22"/>
    </row>
    <row r="258">
      <c r="G258" s="22"/>
    </row>
    <row r="259">
      <c r="G259" s="22"/>
    </row>
    <row r="260">
      <c r="G260" s="22"/>
    </row>
    <row r="261">
      <c r="G261" s="22"/>
    </row>
    <row r="262">
      <c r="G262" s="22"/>
    </row>
    <row r="263">
      <c r="G263" s="22"/>
    </row>
    <row r="264">
      <c r="G264" s="22"/>
    </row>
    <row r="265">
      <c r="G265" s="22"/>
    </row>
    <row r="266">
      <c r="G266" s="22"/>
    </row>
    <row r="267">
      <c r="G267" s="22"/>
    </row>
    <row r="268">
      <c r="G268" s="22"/>
    </row>
    <row r="269">
      <c r="G269" s="22"/>
    </row>
    <row r="270">
      <c r="G270" s="22"/>
    </row>
    <row r="271">
      <c r="G271" s="22"/>
    </row>
    <row r="272">
      <c r="G272" s="22"/>
    </row>
    <row r="273">
      <c r="G273" s="22"/>
    </row>
    <row r="274">
      <c r="G274" s="22"/>
    </row>
    <row r="275">
      <c r="G275" s="22"/>
    </row>
    <row r="276">
      <c r="G276" s="22"/>
    </row>
    <row r="277">
      <c r="G277" s="22"/>
    </row>
    <row r="278">
      <c r="G278" s="22"/>
    </row>
    <row r="279">
      <c r="G279" s="22"/>
    </row>
    <row r="280">
      <c r="G280" s="22"/>
    </row>
    <row r="281">
      <c r="G281" s="22"/>
    </row>
    <row r="282">
      <c r="G282" s="22"/>
    </row>
    <row r="283">
      <c r="G283" s="22"/>
    </row>
    <row r="284">
      <c r="G284" s="22"/>
    </row>
    <row r="285">
      <c r="G285" s="22"/>
    </row>
    <row r="286">
      <c r="G286" s="22"/>
    </row>
    <row r="287">
      <c r="G287" s="22"/>
    </row>
    <row r="288">
      <c r="G288" s="22"/>
    </row>
    <row r="289">
      <c r="G289" s="22"/>
    </row>
    <row r="290">
      <c r="G290" s="22"/>
    </row>
    <row r="291">
      <c r="G291" s="22"/>
    </row>
    <row r="292">
      <c r="G292" s="22"/>
    </row>
    <row r="293">
      <c r="G293" s="22"/>
    </row>
    <row r="294">
      <c r="G294" s="22"/>
    </row>
    <row r="295">
      <c r="G295" s="22"/>
    </row>
    <row r="296">
      <c r="G296" s="22"/>
    </row>
    <row r="297">
      <c r="G297" s="22"/>
    </row>
    <row r="298">
      <c r="G298" s="22"/>
    </row>
    <row r="299">
      <c r="G299" s="22"/>
    </row>
    <row r="300">
      <c r="G300" s="22"/>
    </row>
    <row r="301">
      <c r="G301" s="22"/>
    </row>
    <row r="302">
      <c r="G302" s="22"/>
    </row>
    <row r="303">
      <c r="G303" s="22"/>
    </row>
    <row r="304">
      <c r="G304" s="22"/>
    </row>
    <row r="305">
      <c r="G305" s="22"/>
    </row>
    <row r="306">
      <c r="G306" s="22"/>
    </row>
    <row r="307">
      <c r="G307" s="22"/>
    </row>
    <row r="308">
      <c r="G308" s="22"/>
    </row>
    <row r="309">
      <c r="G309" s="22"/>
    </row>
    <row r="310">
      <c r="G310" s="22"/>
    </row>
    <row r="311">
      <c r="G311" s="22"/>
    </row>
    <row r="312">
      <c r="G312" s="22"/>
    </row>
    <row r="313">
      <c r="G313" s="22"/>
    </row>
    <row r="314">
      <c r="G314" s="22"/>
    </row>
    <row r="315">
      <c r="G315" s="22"/>
    </row>
    <row r="316">
      <c r="G316" s="22"/>
    </row>
    <row r="317">
      <c r="G317" s="22"/>
    </row>
    <row r="318">
      <c r="G318" s="22"/>
    </row>
    <row r="319">
      <c r="G319" s="22"/>
    </row>
    <row r="320">
      <c r="G320" s="22"/>
    </row>
    <row r="321">
      <c r="G321" s="22"/>
    </row>
    <row r="322">
      <c r="G322" s="22"/>
    </row>
    <row r="323">
      <c r="G323" s="22"/>
    </row>
    <row r="324">
      <c r="G324" s="22"/>
    </row>
    <row r="325">
      <c r="G325" s="22"/>
    </row>
    <row r="326">
      <c r="G326" s="22"/>
    </row>
    <row r="327">
      <c r="G327" s="22"/>
    </row>
    <row r="328">
      <c r="G328" s="22"/>
    </row>
    <row r="329">
      <c r="G329" s="22"/>
    </row>
    <row r="330">
      <c r="G330" s="22"/>
    </row>
    <row r="331">
      <c r="G331" s="22"/>
    </row>
    <row r="332">
      <c r="G332" s="22"/>
    </row>
    <row r="333">
      <c r="G333" s="22"/>
    </row>
    <row r="334">
      <c r="G334" s="22"/>
    </row>
    <row r="335">
      <c r="G335" s="22"/>
    </row>
    <row r="336">
      <c r="G336" s="22"/>
    </row>
    <row r="337">
      <c r="G337" s="22"/>
    </row>
    <row r="338">
      <c r="G338" s="22"/>
    </row>
    <row r="339">
      <c r="G339" s="22"/>
    </row>
    <row r="340">
      <c r="G340" s="22"/>
    </row>
    <row r="341">
      <c r="G341" s="22"/>
    </row>
    <row r="342">
      <c r="G342" s="22"/>
    </row>
    <row r="343">
      <c r="G343" s="22"/>
    </row>
    <row r="344">
      <c r="G344" s="22"/>
    </row>
    <row r="345">
      <c r="G345" s="22"/>
    </row>
    <row r="346">
      <c r="G346" s="22"/>
    </row>
    <row r="347">
      <c r="G347" s="22"/>
    </row>
    <row r="348">
      <c r="G348" s="22"/>
    </row>
    <row r="349">
      <c r="G349" s="22"/>
    </row>
    <row r="350">
      <c r="G350" s="22"/>
    </row>
    <row r="351">
      <c r="G351" s="22"/>
    </row>
    <row r="352">
      <c r="G352" s="22"/>
    </row>
    <row r="353">
      <c r="G353" s="22"/>
    </row>
    <row r="354">
      <c r="G354" s="22"/>
    </row>
    <row r="355">
      <c r="G355" s="22"/>
    </row>
    <row r="356">
      <c r="G356" s="22"/>
    </row>
    <row r="357">
      <c r="G357" s="22"/>
    </row>
    <row r="358">
      <c r="G358" s="22"/>
    </row>
    <row r="359">
      <c r="G359" s="22"/>
    </row>
    <row r="360">
      <c r="G360" s="22"/>
    </row>
    <row r="361">
      <c r="G361" s="22"/>
    </row>
    <row r="362">
      <c r="G362" s="22"/>
    </row>
    <row r="363">
      <c r="G363" s="22"/>
    </row>
    <row r="364">
      <c r="G364" s="22"/>
    </row>
    <row r="365">
      <c r="G365" s="22"/>
    </row>
    <row r="366">
      <c r="G366" s="22"/>
    </row>
    <row r="367">
      <c r="G367" s="22"/>
    </row>
    <row r="368">
      <c r="G368" s="22"/>
    </row>
    <row r="369">
      <c r="G369" s="22"/>
    </row>
    <row r="370">
      <c r="G370" s="22"/>
    </row>
    <row r="371">
      <c r="G371" s="22"/>
    </row>
    <row r="372">
      <c r="G372" s="22"/>
    </row>
    <row r="373">
      <c r="G373" s="22"/>
    </row>
    <row r="374">
      <c r="G374" s="22"/>
    </row>
    <row r="375">
      <c r="G375" s="22"/>
    </row>
    <row r="376">
      <c r="G376" s="22"/>
    </row>
    <row r="377">
      <c r="G377" s="22"/>
    </row>
    <row r="378">
      <c r="G378" s="22"/>
    </row>
    <row r="379">
      <c r="G379" s="22"/>
    </row>
    <row r="380">
      <c r="G380" s="22"/>
    </row>
    <row r="381">
      <c r="G381" s="22"/>
    </row>
    <row r="382">
      <c r="G382" s="22"/>
    </row>
    <row r="383">
      <c r="G383" s="22"/>
    </row>
    <row r="384">
      <c r="G384" s="22"/>
    </row>
    <row r="385">
      <c r="G385" s="22"/>
    </row>
    <row r="386">
      <c r="G386" s="22"/>
    </row>
    <row r="387">
      <c r="G387" s="22"/>
    </row>
    <row r="388">
      <c r="G388" s="22"/>
    </row>
    <row r="389">
      <c r="G389" s="22"/>
    </row>
    <row r="390">
      <c r="G390" s="22"/>
    </row>
    <row r="391">
      <c r="G391" s="22"/>
    </row>
    <row r="392">
      <c r="G392" s="22"/>
    </row>
    <row r="393">
      <c r="G393" s="22"/>
    </row>
    <row r="394">
      <c r="G394" s="22"/>
    </row>
    <row r="395">
      <c r="G395" s="22"/>
    </row>
    <row r="396">
      <c r="G396" s="22"/>
    </row>
    <row r="397">
      <c r="G397" s="22"/>
    </row>
    <row r="398">
      <c r="G398" s="22"/>
    </row>
    <row r="399">
      <c r="G399" s="22"/>
    </row>
    <row r="400">
      <c r="G400" s="22"/>
    </row>
    <row r="401">
      <c r="G401" s="22"/>
    </row>
    <row r="402">
      <c r="G402" s="22"/>
    </row>
    <row r="403">
      <c r="G403" s="22"/>
    </row>
    <row r="404">
      <c r="G404" s="22"/>
    </row>
    <row r="405">
      <c r="G405" s="22"/>
    </row>
    <row r="406">
      <c r="G406" s="22"/>
    </row>
    <row r="407">
      <c r="G407" s="22"/>
    </row>
    <row r="408">
      <c r="G408" s="22"/>
    </row>
    <row r="409">
      <c r="G409" s="22"/>
    </row>
    <row r="410">
      <c r="G410" s="22"/>
    </row>
    <row r="411">
      <c r="G411" s="22"/>
    </row>
    <row r="412">
      <c r="G412" s="22"/>
    </row>
    <row r="413">
      <c r="G413" s="22"/>
    </row>
    <row r="414">
      <c r="G414" s="22"/>
    </row>
    <row r="415">
      <c r="G415" s="22"/>
    </row>
    <row r="416">
      <c r="G416" s="22"/>
    </row>
    <row r="417">
      <c r="G417" s="22"/>
    </row>
    <row r="418">
      <c r="G418" s="22"/>
    </row>
    <row r="419">
      <c r="G419" s="22"/>
    </row>
    <row r="420">
      <c r="G420" s="22"/>
    </row>
    <row r="421">
      <c r="G421" s="22"/>
    </row>
    <row r="422">
      <c r="G422" s="22"/>
    </row>
    <row r="423">
      <c r="G423" s="22"/>
    </row>
    <row r="424">
      <c r="G424" s="22"/>
    </row>
    <row r="425">
      <c r="G425" s="22"/>
    </row>
    <row r="426">
      <c r="G426" s="22"/>
    </row>
    <row r="427">
      <c r="G427" s="22"/>
    </row>
    <row r="428">
      <c r="G428" s="22"/>
    </row>
    <row r="429">
      <c r="G429" s="22"/>
    </row>
    <row r="430">
      <c r="G430" s="22"/>
    </row>
    <row r="431">
      <c r="G431" s="22"/>
    </row>
    <row r="432">
      <c r="G432" s="22"/>
    </row>
    <row r="433">
      <c r="G433" s="22"/>
    </row>
    <row r="434">
      <c r="G434" s="22"/>
    </row>
    <row r="435">
      <c r="G435" s="22"/>
    </row>
    <row r="436">
      <c r="G436" s="22"/>
    </row>
    <row r="437">
      <c r="G437" s="22"/>
    </row>
    <row r="438">
      <c r="G438" s="22"/>
    </row>
    <row r="439">
      <c r="G439" s="22"/>
    </row>
    <row r="440">
      <c r="G440" s="22"/>
    </row>
    <row r="441">
      <c r="G441" s="22"/>
    </row>
    <row r="442">
      <c r="G442" s="22"/>
    </row>
    <row r="443">
      <c r="G443" s="22"/>
    </row>
    <row r="444">
      <c r="G444" s="22"/>
    </row>
    <row r="445">
      <c r="G445" s="22"/>
    </row>
    <row r="446">
      <c r="G446" s="22"/>
    </row>
    <row r="447">
      <c r="G447" s="22"/>
    </row>
    <row r="448">
      <c r="G448" s="22"/>
    </row>
    <row r="449">
      <c r="G449" s="22"/>
    </row>
    <row r="450">
      <c r="G450" s="22"/>
    </row>
    <row r="451">
      <c r="G451" s="22"/>
    </row>
    <row r="452">
      <c r="G452" s="22"/>
    </row>
    <row r="453">
      <c r="G453" s="22"/>
    </row>
    <row r="454">
      <c r="G454" s="22"/>
    </row>
    <row r="455">
      <c r="G455" s="22"/>
    </row>
    <row r="456">
      <c r="G456" s="22"/>
    </row>
    <row r="457">
      <c r="G457" s="22"/>
    </row>
    <row r="458">
      <c r="G458" s="22"/>
    </row>
    <row r="459">
      <c r="G459" s="22"/>
    </row>
    <row r="460">
      <c r="G460" s="22"/>
    </row>
    <row r="461">
      <c r="G461" s="22"/>
    </row>
    <row r="462">
      <c r="G462" s="22"/>
    </row>
    <row r="463">
      <c r="G463" s="22"/>
    </row>
    <row r="464">
      <c r="G464" s="22"/>
    </row>
    <row r="465">
      <c r="G465" s="22"/>
    </row>
    <row r="466">
      <c r="G466" s="22"/>
    </row>
    <row r="467">
      <c r="G467" s="22"/>
    </row>
    <row r="468">
      <c r="G468" s="22"/>
    </row>
    <row r="469">
      <c r="G469" s="22"/>
    </row>
    <row r="470">
      <c r="G470" s="22"/>
    </row>
    <row r="471">
      <c r="G471" s="22"/>
    </row>
    <row r="472">
      <c r="G472" s="22"/>
    </row>
    <row r="473">
      <c r="G473" s="22"/>
    </row>
    <row r="474">
      <c r="G474" s="22"/>
    </row>
    <row r="475">
      <c r="G475" s="22"/>
    </row>
    <row r="476">
      <c r="G476" s="22"/>
    </row>
    <row r="477">
      <c r="G477" s="22"/>
    </row>
    <row r="478">
      <c r="G478" s="22"/>
    </row>
    <row r="479">
      <c r="G479" s="22"/>
    </row>
    <row r="480">
      <c r="G480" s="22"/>
    </row>
    <row r="481">
      <c r="G481" s="22"/>
    </row>
    <row r="482">
      <c r="G482" s="22"/>
    </row>
    <row r="483">
      <c r="G483" s="22"/>
    </row>
    <row r="484">
      <c r="G484" s="22"/>
    </row>
    <row r="485">
      <c r="G485" s="22"/>
    </row>
    <row r="486">
      <c r="G486" s="22"/>
    </row>
    <row r="487">
      <c r="G487" s="22"/>
    </row>
    <row r="488">
      <c r="G488" s="22"/>
    </row>
    <row r="489">
      <c r="G489" s="22"/>
    </row>
    <row r="490">
      <c r="G490" s="22"/>
    </row>
    <row r="491">
      <c r="G491" s="22"/>
    </row>
    <row r="492">
      <c r="G492" s="22"/>
    </row>
    <row r="493">
      <c r="G493" s="22"/>
    </row>
    <row r="494">
      <c r="G494" s="22"/>
    </row>
    <row r="495">
      <c r="G495" s="22"/>
    </row>
    <row r="496">
      <c r="G496" s="22"/>
    </row>
    <row r="497">
      <c r="G497" s="22"/>
    </row>
    <row r="498">
      <c r="G498" s="22"/>
    </row>
    <row r="499">
      <c r="G499" s="22"/>
    </row>
    <row r="500">
      <c r="G500" s="22"/>
    </row>
    <row r="501">
      <c r="G501" s="22"/>
    </row>
    <row r="502">
      <c r="G502" s="22"/>
    </row>
    <row r="503">
      <c r="G503" s="22"/>
    </row>
    <row r="504">
      <c r="G504" s="22"/>
    </row>
    <row r="505">
      <c r="G505" s="22"/>
    </row>
    <row r="506">
      <c r="G506" s="22"/>
    </row>
    <row r="507">
      <c r="G507" s="22"/>
    </row>
    <row r="508">
      <c r="G508" s="22"/>
    </row>
    <row r="509">
      <c r="G509" s="22"/>
    </row>
    <row r="510">
      <c r="G510" s="22"/>
    </row>
    <row r="511">
      <c r="G511" s="22"/>
    </row>
    <row r="512">
      <c r="G512" s="22"/>
    </row>
    <row r="513">
      <c r="G513" s="22"/>
    </row>
    <row r="514">
      <c r="G514" s="22"/>
    </row>
    <row r="515">
      <c r="G515" s="22"/>
    </row>
    <row r="516">
      <c r="G516" s="22"/>
    </row>
    <row r="517">
      <c r="G517" s="22"/>
    </row>
    <row r="518">
      <c r="G518" s="22"/>
    </row>
    <row r="519">
      <c r="G519" s="22"/>
    </row>
    <row r="520">
      <c r="G520" s="22"/>
    </row>
    <row r="521">
      <c r="G521" s="22"/>
    </row>
    <row r="522">
      <c r="G522" s="22"/>
    </row>
    <row r="523">
      <c r="G523" s="22"/>
    </row>
    <row r="524">
      <c r="G524" s="22"/>
    </row>
    <row r="525">
      <c r="G525" s="22"/>
    </row>
    <row r="526">
      <c r="G526" s="22"/>
    </row>
    <row r="527">
      <c r="G527" s="22"/>
    </row>
    <row r="528">
      <c r="G528" s="22"/>
    </row>
    <row r="529">
      <c r="G529" s="22"/>
    </row>
    <row r="530">
      <c r="G530" s="22"/>
    </row>
    <row r="531">
      <c r="G531" s="22"/>
    </row>
    <row r="532">
      <c r="G532" s="22"/>
    </row>
    <row r="533">
      <c r="G533" s="22"/>
    </row>
    <row r="534">
      <c r="G534" s="22"/>
    </row>
    <row r="535">
      <c r="G535" s="22"/>
    </row>
    <row r="536">
      <c r="G536" s="22"/>
    </row>
    <row r="537">
      <c r="G537" s="22"/>
    </row>
    <row r="538">
      <c r="G538" s="22"/>
    </row>
    <row r="539">
      <c r="G539" s="22"/>
    </row>
    <row r="540">
      <c r="G540" s="22"/>
    </row>
    <row r="541">
      <c r="G541" s="22"/>
    </row>
    <row r="542">
      <c r="G542" s="22"/>
    </row>
    <row r="543">
      <c r="G543" s="22"/>
    </row>
    <row r="544">
      <c r="G544" s="22"/>
    </row>
    <row r="545">
      <c r="G545" s="22"/>
    </row>
    <row r="546">
      <c r="G546" s="22"/>
    </row>
    <row r="547">
      <c r="G547" s="22"/>
    </row>
    <row r="548">
      <c r="G548" s="22"/>
    </row>
    <row r="549">
      <c r="G549" s="22"/>
    </row>
    <row r="550">
      <c r="G550" s="22"/>
    </row>
    <row r="551">
      <c r="G551" s="22"/>
    </row>
    <row r="552">
      <c r="G552" s="22"/>
    </row>
    <row r="553">
      <c r="G553" s="22"/>
    </row>
    <row r="554">
      <c r="G554" s="22"/>
    </row>
    <row r="555">
      <c r="G555" s="22"/>
    </row>
    <row r="556">
      <c r="G556" s="22"/>
    </row>
    <row r="557">
      <c r="G557" s="22"/>
    </row>
    <row r="558">
      <c r="G558" s="22"/>
    </row>
    <row r="559">
      <c r="G559" s="22"/>
    </row>
    <row r="560">
      <c r="G560" s="22"/>
    </row>
    <row r="561">
      <c r="G561" s="22"/>
    </row>
    <row r="562">
      <c r="G562" s="22"/>
    </row>
    <row r="563">
      <c r="G563" s="22"/>
    </row>
    <row r="564">
      <c r="G564" s="22"/>
    </row>
    <row r="565">
      <c r="G565" s="22"/>
    </row>
    <row r="566">
      <c r="G566" s="22"/>
    </row>
    <row r="567">
      <c r="G567" s="22"/>
    </row>
    <row r="568">
      <c r="G568" s="22"/>
    </row>
    <row r="569">
      <c r="G569" s="22"/>
    </row>
    <row r="570">
      <c r="G570" s="22"/>
    </row>
    <row r="571">
      <c r="G571" s="22"/>
    </row>
    <row r="572">
      <c r="G572" s="22"/>
    </row>
    <row r="573">
      <c r="G573" s="22"/>
    </row>
    <row r="574">
      <c r="G574" s="22"/>
    </row>
    <row r="575">
      <c r="G575" s="22"/>
    </row>
    <row r="576">
      <c r="G576" s="22"/>
    </row>
    <row r="577">
      <c r="G577" s="22"/>
    </row>
    <row r="578">
      <c r="G578" s="22"/>
    </row>
    <row r="579">
      <c r="G579" s="22"/>
    </row>
    <row r="580">
      <c r="G580" s="22"/>
    </row>
    <row r="581">
      <c r="G581" s="22"/>
    </row>
    <row r="582">
      <c r="G582" s="22"/>
    </row>
    <row r="583">
      <c r="G583" s="22"/>
    </row>
    <row r="584">
      <c r="G584" s="22"/>
    </row>
    <row r="585">
      <c r="G585" s="22"/>
    </row>
    <row r="586">
      <c r="G586" s="22"/>
    </row>
    <row r="587">
      <c r="G587" s="22"/>
    </row>
    <row r="588">
      <c r="G588" s="22"/>
    </row>
    <row r="589">
      <c r="G589" s="22"/>
    </row>
    <row r="590">
      <c r="G590" s="22"/>
    </row>
    <row r="591">
      <c r="G591" s="22"/>
    </row>
    <row r="592">
      <c r="G592" s="22"/>
    </row>
    <row r="593">
      <c r="G593" s="22"/>
    </row>
    <row r="594">
      <c r="G594" s="22"/>
    </row>
    <row r="595">
      <c r="G595" s="22"/>
    </row>
    <row r="596">
      <c r="G596" s="22"/>
    </row>
    <row r="597">
      <c r="G597" s="22"/>
    </row>
    <row r="598">
      <c r="G598" s="22"/>
    </row>
    <row r="599">
      <c r="G599" s="22"/>
    </row>
    <row r="600">
      <c r="G600" s="22"/>
    </row>
    <row r="601">
      <c r="G601" s="22"/>
    </row>
    <row r="602">
      <c r="G602" s="22"/>
    </row>
    <row r="603">
      <c r="G603" s="22"/>
    </row>
    <row r="604">
      <c r="G604" s="22"/>
    </row>
    <row r="605">
      <c r="G605" s="22"/>
    </row>
    <row r="606">
      <c r="G606" s="22"/>
    </row>
    <row r="607">
      <c r="G607" s="22"/>
    </row>
    <row r="608">
      <c r="G608" s="22"/>
    </row>
    <row r="609">
      <c r="G609" s="22"/>
    </row>
    <row r="610">
      <c r="G610" s="22"/>
    </row>
    <row r="611">
      <c r="G611" s="22"/>
    </row>
    <row r="612">
      <c r="G612" s="22"/>
    </row>
    <row r="613">
      <c r="G613" s="22"/>
    </row>
    <row r="614">
      <c r="G614" s="22"/>
    </row>
    <row r="615">
      <c r="G615" s="22"/>
    </row>
    <row r="616">
      <c r="G616" s="22"/>
    </row>
    <row r="617">
      <c r="G617" s="22"/>
    </row>
    <row r="618">
      <c r="G618" s="22"/>
    </row>
    <row r="619">
      <c r="G619" s="22"/>
    </row>
    <row r="620">
      <c r="G620" s="22"/>
    </row>
    <row r="621">
      <c r="G621" s="22"/>
    </row>
    <row r="622">
      <c r="G622" s="22"/>
    </row>
    <row r="623">
      <c r="G623" s="22"/>
    </row>
    <row r="624">
      <c r="G624" s="22"/>
    </row>
    <row r="625">
      <c r="G625" s="22"/>
    </row>
    <row r="626">
      <c r="G626" s="22"/>
    </row>
    <row r="627">
      <c r="G627" s="22"/>
    </row>
    <row r="628">
      <c r="G628" s="22"/>
    </row>
    <row r="629">
      <c r="G629" s="22"/>
    </row>
    <row r="630">
      <c r="G630" s="22"/>
    </row>
    <row r="631">
      <c r="G631" s="22"/>
    </row>
    <row r="632">
      <c r="G632" s="22"/>
    </row>
    <row r="633">
      <c r="G633" s="22"/>
    </row>
    <row r="634">
      <c r="G634" s="22"/>
    </row>
    <row r="635">
      <c r="G635" s="22"/>
    </row>
    <row r="636">
      <c r="G636" s="22"/>
    </row>
    <row r="637">
      <c r="G637" s="22"/>
    </row>
    <row r="638">
      <c r="G638" s="22"/>
    </row>
    <row r="639">
      <c r="G639" s="22"/>
    </row>
    <row r="640">
      <c r="G640" s="22"/>
    </row>
    <row r="641">
      <c r="G641" s="22"/>
    </row>
    <row r="642">
      <c r="G642" s="22"/>
    </row>
    <row r="643">
      <c r="G643" s="22"/>
    </row>
    <row r="644">
      <c r="G644" s="22"/>
    </row>
    <row r="645">
      <c r="G645" s="22"/>
    </row>
    <row r="646">
      <c r="G646" s="22"/>
    </row>
    <row r="647">
      <c r="G647" s="22"/>
    </row>
    <row r="648">
      <c r="G648" s="22"/>
    </row>
    <row r="649">
      <c r="G649" s="22"/>
    </row>
    <row r="650">
      <c r="G650" s="22"/>
    </row>
    <row r="651">
      <c r="G651" s="22"/>
    </row>
    <row r="652">
      <c r="G652" s="22"/>
    </row>
    <row r="653">
      <c r="G653" s="22"/>
    </row>
    <row r="654">
      <c r="G654" s="22"/>
    </row>
    <row r="655">
      <c r="G655" s="22"/>
    </row>
    <row r="656">
      <c r="G656" s="22"/>
    </row>
    <row r="657">
      <c r="G657" s="22"/>
    </row>
    <row r="658">
      <c r="G658" s="22"/>
    </row>
    <row r="659">
      <c r="G659" s="22"/>
    </row>
    <row r="660">
      <c r="G660" s="22"/>
    </row>
    <row r="661">
      <c r="G661" s="22"/>
    </row>
    <row r="662">
      <c r="G662" s="22"/>
    </row>
    <row r="663">
      <c r="G663" s="22"/>
    </row>
    <row r="664">
      <c r="G664" s="22"/>
    </row>
    <row r="665">
      <c r="G665" s="22"/>
    </row>
    <row r="666">
      <c r="G666" s="22"/>
    </row>
    <row r="667">
      <c r="G667" s="22"/>
    </row>
    <row r="668">
      <c r="G668" s="22"/>
    </row>
    <row r="669">
      <c r="G669" s="22"/>
    </row>
    <row r="670">
      <c r="G670" s="22"/>
    </row>
    <row r="671">
      <c r="G671" s="22"/>
    </row>
    <row r="672">
      <c r="G672" s="22"/>
    </row>
    <row r="673">
      <c r="G673" s="22"/>
    </row>
    <row r="674">
      <c r="G674" s="22"/>
    </row>
    <row r="675">
      <c r="G675" s="22"/>
    </row>
    <row r="676">
      <c r="G676" s="22"/>
    </row>
    <row r="677">
      <c r="G677" s="22"/>
    </row>
    <row r="678">
      <c r="G678" s="22"/>
    </row>
    <row r="679">
      <c r="G679" s="22"/>
    </row>
    <row r="680">
      <c r="G680" s="22"/>
    </row>
    <row r="681">
      <c r="G681" s="22"/>
    </row>
    <row r="682">
      <c r="G682" s="22"/>
    </row>
    <row r="683">
      <c r="G683" s="22"/>
    </row>
    <row r="684">
      <c r="G684" s="22"/>
    </row>
    <row r="685">
      <c r="G685" s="22"/>
    </row>
    <row r="686">
      <c r="G686" s="22"/>
    </row>
    <row r="687">
      <c r="G687" s="22"/>
    </row>
    <row r="688">
      <c r="G688" s="22"/>
    </row>
    <row r="689">
      <c r="G689" s="22"/>
    </row>
    <row r="690">
      <c r="G690" s="22"/>
    </row>
    <row r="691">
      <c r="G691" s="22"/>
    </row>
    <row r="692">
      <c r="G692" s="22"/>
    </row>
    <row r="693">
      <c r="G693" s="22"/>
    </row>
    <row r="694">
      <c r="G694" s="22"/>
    </row>
    <row r="695">
      <c r="G695" s="22"/>
    </row>
    <row r="696">
      <c r="G696" s="22"/>
    </row>
    <row r="697">
      <c r="G697" s="22"/>
    </row>
    <row r="698">
      <c r="G698" s="22"/>
    </row>
    <row r="699">
      <c r="G699" s="22"/>
    </row>
    <row r="700">
      <c r="G700" s="22"/>
    </row>
    <row r="701">
      <c r="G701" s="22"/>
    </row>
    <row r="702">
      <c r="G702" s="22"/>
    </row>
    <row r="703">
      <c r="G703" s="22"/>
    </row>
    <row r="704">
      <c r="G704" s="22"/>
    </row>
    <row r="705">
      <c r="G705" s="22"/>
    </row>
    <row r="706">
      <c r="G706" s="22"/>
    </row>
    <row r="707">
      <c r="G707" s="22"/>
    </row>
    <row r="708">
      <c r="G708" s="22"/>
    </row>
    <row r="709">
      <c r="G709" s="22"/>
    </row>
    <row r="710">
      <c r="G710" s="22"/>
    </row>
    <row r="711">
      <c r="G711" s="22"/>
    </row>
    <row r="712">
      <c r="G712" s="22"/>
    </row>
    <row r="713">
      <c r="G713" s="22"/>
    </row>
    <row r="714">
      <c r="G714" s="22"/>
    </row>
    <row r="715">
      <c r="G715" s="22"/>
    </row>
    <row r="716">
      <c r="G716" s="22"/>
    </row>
    <row r="717">
      <c r="G717" s="22"/>
    </row>
    <row r="718">
      <c r="G718" s="22"/>
    </row>
    <row r="719">
      <c r="G719" s="22"/>
    </row>
    <row r="720">
      <c r="G720" s="22"/>
    </row>
    <row r="721">
      <c r="G721" s="22"/>
    </row>
    <row r="722">
      <c r="G722" s="22"/>
    </row>
    <row r="723">
      <c r="G723" s="22"/>
    </row>
    <row r="724">
      <c r="G724" s="22"/>
    </row>
    <row r="725">
      <c r="G725" s="22"/>
    </row>
    <row r="726">
      <c r="G726" s="22"/>
    </row>
    <row r="727">
      <c r="G727" s="22"/>
    </row>
    <row r="728">
      <c r="G728" s="22"/>
    </row>
    <row r="729">
      <c r="G729" s="22"/>
    </row>
    <row r="730">
      <c r="G730" s="22"/>
    </row>
    <row r="731">
      <c r="G731" s="22"/>
    </row>
    <row r="732">
      <c r="G732" s="22"/>
    </row>
    <row r="733">
      <c r="G733" s="22"/>
    </row>
    <row r="734">
      <c r="G734" s="22"/>
    </row>
    <row r="735">
      <c r="G735" s="22"/>
    </row>
    <row r="736">
      <c r="G736" s="22"/>
    </row>
    <row r="737">
      <c r="G737" s="22"/>
    </row>
    <row r="738">
      <c r="G738" s="22"/>
    </row>
    <row r="739">
      <c r="G739" s="22"/>
    </row>
    <row r="740">
      <c r="G740" s="22"/>
    </row>
    <row r="741">
      <c r="G741" s="22"/>
    </row>
    <row r="742">
      <c r="G742" s="22"/>
    </row>
    <row r="743">
      <c r="G743" s="22"/>
    </row>
    <row r="744">
      <c r="G744" s="22"/>
    </row>
    <row r="745">
      <c r="G745" s="22"/>
    </row>
    <row r="746">
      <c r="G746" s="22"/>
    </row>
    <row r="747">
      <c r="G747" s="22"/>
    </row>
    <row r="748">
      <c r="G748" s="22"/>
    </row>
    <row r="749">
      <c r="G749" s="22"/>
    </row>
    <row r="750">
      <c r="G750" s="22"/>
    </row>
    <row r="751">
      <c r="G751" s="22"/>
    </row>
    <row r="752">
      <c r="G752" s="22"/>
    </row>
    <row r="753">
      <c r="G753" s="22"/>
    </row>
    <row r="754">
      <c r="G754" s="22"/>
    </row>
    <row r="755">
      <c r="G755" s="22"/>
    </row>
    <row r="756">
      <c r="G756" s="22"/>
    </row>
    <row r="757">
      <c r="G757" s="22"/>
    </row>
    <row r="758">
      <c r="G758" s="22"/>
    </row>
    <row r="759">
      <c r="G759" s="22"/>
    </row>
    <row r="760">
      <c r="G760" s="22"/>
    </row>
    <row r="761">
      <c r="G761" s="22"/>
    </row>
    <row r="762">
      <c r="G762" s="22"/>
    </row>
    <row r="763">
      <c r="G763" s="22"/>
    </row>
    <row r="764">
      <c r="G764" s="22"/>
    </row>
    <row r="765">
      <c r="G765" s="22"/>
    </row>
    <row r="766">
      <c r="G766" s="22"/>
    </row>
    <row r="767">
      <c r="G767" s="22"/>
    </row>
    <row r="768">
      <c r="G768" s="22"/>
    </row>
    <row r="769">
      <c r="G769" s="22"/>
    </row>
    <row r="770">
      <c r="G770" s="22"/>
    </row>
    <row r="771">
      <c r="G771" s="22"/>
    </row>
    <row r="772">
      <c r="G772" s="22"/>
    </row>
    <row r="773">
      <c r="G773" s="22"/>
    </row>
    <row r="774">
      <c r="G774" s="22"/>
    </row>
    <row r="775">
      <c r="G775" s="22"/>
    </row>
    <row r="776">
      <c r="G776" s="22"/>
    </row>
    <row r="777">
      <c r="G777" s="22"/>
    </row>
    <row r="778">
      <c r="G778" s="22"/>
    </row>
    <row r="779">
      <c r="G779" s="22"/>
    </row>
    <row r="780">
      <c r="G780" s="22"/>
    </row>
    <row r="781">
      <c r="G781" s="22"/>
    </row>
    <row r="782">
      <c r="G782" s="22"/>
    </row>
    <row r="783">
      <c r="G783" s="22"/>
    </row>
    <row r="784">
      <c r="G784" s="22"/>
    </row>
    <row r="785">
      <c r="G785" s="22"/>
    </row>
    <row r="786">
      <c r="G786" s="22"/>
    </row>
    <row r="787">
      <c r="G787" s="22"/>
    </row>
    <row r="788">
      <c r="G788" s="22"/>
    </row>
    <row r="789">
      <c r="G789" s="22"/>
    </row>
    <row r="790">
      <c r="G790" s="22"/>
    </row>
    <row r="791">
      <c r="G791" s="22"/>
    </row>
    <row r="792">
      <c r="G792" s="22"/>
    </row>
    <row r="793">
      <c r="G793" s="22"/>
    </row>
    <row r="794">
      <c r="G794" s="22"/>
    </row>
    <row r="795">
      <c r="G795" s="22"/>
    </row>
    <row r="796">
      <c r="G796" s="22"/>
    </row>
    <row r="797">
      <c r="G797" s="22"/>
    </row>
    <row r="798">
      <c r="G798" s="22"/>
    </row>
    <row r="799">
      <c r="G799" s="22"/>
    </row>
    <row r="800">
      <c r="G800" s="22"/>
    </row>
    <row r="801">
      <c r="G801" s="22"/>
    </row>
    <row r="802">
      <c r="G802" s="22"/>
    </row>
    <row r="803">
      <c r="G803" s="22"/>
    </row>
    <row r="804">
      <c r="G804" s="22"/>
    </row>
    <row r="805">
      <c r="G805" s="22"/>
    </row>
    <row r="806">
      <c r="G806" s="22"/>
    </row>
    <row r="807">
      <c r="G807" s="22"/>
    </row>
    <row r="808">
      <c r="G808" s="22"/>
    </row>
    <row r="809">
      <c r="G809" s="22"/>
    </row>
    <row r="810">
      <c r="G810" s="22"/>
    </row>
    <row r="811">
      <c r="G811" s="22"/>
    </row>
    <row r="812">
      <c r="G812" s="22"/>
    </row>
    <row r="813">
      <c r="G813" s="22"/>
    </row>
    <row r="814">
      <c r="G814" s="22"/>
    </row>
    <row r="815">
      <c r="G815" s="22"/>
    </row>
    <row r="816">
      <c r="G816" s="22"/>
    </row>
    <row r="817">
      <c r="G817" s="22"/>
    </row>
    <row r="818">
      <c r="G818" s="22"/>
    </row>
    <row r="819">
      <c r="G819" s="22"/>
    </row>
    <row r="820">
      <c r="G820" s="22"/>
    </row>
    <row r="821">
      <c r="G821" s="22"/>
    </row>
    <row r="822">
      <c r="G822" s="22"/>
    </row>
    <row r="823">
      <c r="G823" s="22"/>
    </row>
    <row r="824">
      <c r="G824" s="22"/>
    </row>
    <row r="825">
      <c r="G825" s="22"/>
    </row>
    <row r="826">
      <c r="G826" s="22"/>
    </row>
    <row r="827">
      <c r="G827" s="22"/>
    </row>
    <row r="828">
      <c r="G828" s="22"/>
    </row>
    <row r="829">
      <c r="G829" s="22"/>
    </row>
    <row r="830">
      <c r="G830" s="22"/>
    </row>
    <row r="831">
      <c r="G831" s="22"/>
    </row>
    <row r="832">
      <c r="G832" s="22"/>
    </row>
    <row r="833">
      <c r="G833" s="22"/>
    </row>
    <row r="834">
      <c r="G834" s="22"/>
    </row>
    <row r="835">
      <c r="G835" s="22"/>
    </row>
    <row r="836">
      <c r="G836" s="22"/>
    </row>
    <row r="837">
      <c r="G837" s="22"/>
    </row>
    <row r="838">
      <c r="G838" s="22"/>
    </row>
    <row r="839">
      <c r="G839" s="22"/>
    </row>
    <row r="840">
      <c r="G840" s="22"/>
    </row>
    <row r="841">
      <c r="G841" s="22"/>
    </row>
    <row r="842">
      <c r="G842" s="22"/>
    </row>
    <row r="843">
      <c r="G843" s="22"/>
    </row>
    <row r="844">
      <c r="G844" s="22"/>
    </row>
    <row r="845">
      <c r="G845" s="22"/>
    </row>
    <row r="846">
      <c r="G846" s="22"/>
    </row>
    <row r="847">
      <c r="G847" s="22"/>
    </row>
    <row r="848">
      <c r="G848" s="22"/>
    </row>
    <row r="849">
      <c r="G849" s="22"/>
    </row>
    <row r="850">
      <c r="G850" s="22"/>
    </row>
    <row r="851">
      <c r="G851" s="22"/>
    </row>
    <row r="852">
      <c r="G852" s="22"/>
    </row>
    <row r="853">
      <c r="G853" s="22"/>
    </row>
    <row r="854">
      <c r="G854" s="22"/>
    </row>
    <row r="855">
      <c r="G855" s="22"/>
    </row>
    <row r="856">
      <c r="G856" s="22"/>
    </row>
    <row r="857">
      <c r="G857" s="22"/>
    </row>
    <row r="858">
      <c r="G858" s="22"/>
    </row>
    <row r="859">
      <c r="G859" s="22"/>
    </row>
    <row r="860">
      <c r="G860" s="22"/>
    </row>
    <row r="861">
      <c r="G861" s="22"/>
    </row>
    <row r="862">
      <c r="G862" s="22"/>
    </row>
    <row r="863">
      <c r="G863" s="22"/>
    </row>
    <row r="864">
      <c r="G864" s="22"/>
    </row>
    <row r="865">
      <c r="G865" s="22"/>
    </row>
    <row r="866">
      <c r="G866" s="22"/>
    </row>
    <row r="867">
      <c r="G867" s="22"/>
    </row>
    <row r="868">
      <c r="G868" s="22"/>
    </row>
    <row r="869">
      <c r="G869" s="22"/>
    </row>
    <row r="870">
      <c r="G870" s="22"/>
    </row>
    <row r="871">
      <c r="G871" s="22"/>
    </row>
    <row r="872">
      <c r="G872" s="22"/>
    </row>
    <row r="873">
      <c r="G873" s="22"/>
    </row>
    <row r="874">
      <c r="G874" s="22"/>
    </row>
    <row r="875">
      <c r="G875" s="22"/>
    </row>
    <row r="876">
      <c r="G876" s="22"/>
    </row>
    <row r="877">
      <c r="G877" s="22"/>
    </row>
    <row r="878">
      <c r="G878" s="22"/>
    </row>
    <row r="879">
      <c r="G879" s="22"/>
    </row>
    <row r="880">
      <c r="G880" s="22"/>
    </row>
    <row r="881">
      <c r="G881" s="22"/>
    </row>
    <row r="882">
      <c r="G882" s="22"/>
    </row>
    <row r="883">
      <c r="G883" s="22"/>
    </row>
    <row r="884">
      <c r="G884" s="22"/>
    </row>
    <row r="885">
      <c r="G885" s="22"/>
    </row>
    <row r="886">
      <c r="G886" s="22"/>
    </row>
    <row r="887">
      <c r="G887" s="22"/>
    </row>
    <row r="888">
      <c r="G888" s="22"/>
    </row>
    <row r="889">
      <c r="G889" s="22"/>
    </row>
    <row r="890">
      <c r="G890" s="22"/>
    </row>
    <row r="891">
      <c r="G891" s="22"/>
    </row>
    <row r="892">
      <c r="G892" s="22"/>
    </row>
    <row r="893">
      <c r="G893" s="22"/>
    </row>
    <row r="894">
      <c r="G894" s="22"/>
    </row>
    <row r="895">
      <c r="G895" s="22"/>
    </row>
    <row r="896">
      <c r="G896" s="22"/>
    </row>
    <row r="897">
      <c r="G897" s="22"/>
    </row>
    <row r="898">
      <c r="G898" s="22"/>
    </row>
    <row r="899">
      <c r="G899" s="22"/>
    </row>
    <row r="900">
      <c r="G900" s="22"/>
    </row>
    <row r="901">
      <c r="G901" s="22"/>
    </row>
    <row r="902">
      <c r="G902" s="22"/>
    </row>
    <row r="903">
      <c r="G903" s="22"/>
    </row>
    <row r="904">
      <c r="G904" s="22"/>
    </row>
    <row r="905">
      <c r="G905" s="22"/>
    </row>
    <row r="906">
      <c r="G906" s="22"/>
    </row>
    <row r="907">
      <c r="G907" s="22"/>
    </row>
    <row r="908">
      <c r="G908" s="22"/>
    </row>
    <row r="909">
      <c r="G909" s="22"/>
    </row>
    <row r="910">
      <c r="G910" s="22"/>
    </row>
    <row r="911">
      <c r="G911" s="22"/>
    </row>
    <row r="912">
      <c r="G912" s="22"/>
    </row>
    <row r="913">
      <c r="G913" s="22"/>
    </row>
    <row r="914">
      <c r="G914" s="22"/>
    </row>
    <row r="915">
      <c r="G915" s="22"/>
    </row>
    <row r="916">
      <c r="G916" s="22"/>
    </row>
    <row r="917">
      <c r="G917" s="22"/>
    </row>
    <row r="918">
      <c r="G918" s="22"/>
    </row>
    <row r="919">
      <c r="G919" s="22"/>
    </row>
    <row r="920">
      <c r="G920" s="22"/>
    </row>
    <row r="921">
      <c r="G921" s="22"/>
    </row>
    <row r="922">
      <c r="G922" s="22"/>
    </row>
    <row r="923">
      <c r="G923" s="22"/>
    </row>
    <row r="924">
      <c r="G924" s="22"/>
    </row>
    <row r="925">
      <c r="G925" s="22"/>
    </row>
    <row r="926">
      <c r="G926" s="22"/>
    </row>
    <row r="927">
      <c r="G927" s="22"/>
    </row>
    <row r="928">
      <c r="G928" s="22"/>
    </row>
    <row r="929">
      <c r="G929" s="22"/>
    </row>
    <row r="930">
      <c r="G930" s="22"/>
    </row>
    <row r="931">
      <c r="G931" s="22"/>
    </row>
    <row r="932">
      <c r="G932" s="22"/>
    </row>
    <row r="933">
      <c r="G933" s="22"/>
    </row>
    <row r="934">
      <c r="G934" s="22"/>
    </row>
    <row r="935">
      <c r="G935" s="22"/>
    </row>
    <row r="936">
      <c r="G936" s="22"/>
    </row>
    <row r="937">
      <c r="G937" s="22"/>
    </row>
    <row r="938">
      <c r="G938" s="22"/>
    </row>
    <row r="939">
      <c r="G939" s="22"/>
    </row>
    <row r="940">
      <c r="G940" s="22"/>
    </row>
    <row r="941">
      <c r="G941" s="22"/>
    </row>
    <row r="942">
      <c r="G942" s="22"/>
    </row>
    <row r="943">
      <c r="G943" s="22"/>
    </row>
    <row r="944">
      <c r="G944" s="22"/>
    </row>
    <row r="945">
      <c r="G945" s="22"/>
    </row>
    <row r="946">
      <c r="G946" s="22"/>
    </row>
    <row r="947">
      <c r="G947" s="22"/>
    </row>
    <row r="948">
      <c r="G948" s="22"/>
    </row>
    <row r="949">
      <c r="G949" s="22"/>
    </row>
    <row r="950">
      <c r="G950" s="22"/>
    </row>
    <row r="951">
      <c r="G951" s="22"/>
    </row>
    <row r="952">
      <c r="G952" s="22"/>
    </row>
    <row r="953">
      <c r="G953" s="22"/>
    </row>
    <row r="954">
      <c r="G954" s="22"/>
    </row>
    <row r="955">
      <c r="G955" s="22"/>
    </row>
    <row r="956">
      <c r="G956" s="22"/>
    </row>
    <row r="957">
      <c r="G957" s="22"/>
    </row>
    <row r="958">
      <c r="G958" s="22"/>
    </row>
    <row r="959">
      <c r="G959" s="22"/>
    </row>
    <row r="960">
      <c r="G960" s="22"/>
    </row>
    <row r="961">
      <c r="G961" s="22"/>
    </row>
    <row r="962">
      <c r="G962" s="22"/>
    </row>
    <row r="963">
      <c r="G963" s="22"/>
    </row>
    <row r="964">
      <c r="G964" s="22"/>
    </row>
    <row r="965">
      <c r="G965" s="22"/>
    </row>
    <row r="966">
      <c r="G966" s="22"/>
    </row>
    <row r="967">
      <c r="G967" s="22"/>
    </row>
    <row r="968">
      <c r="G968" s="22"/>
    </row>
    <row r="969">
      <c r="G969" s="22"/>
    </row>
    <row r="970">
      <c r="G970" s="22"/>
    </row>
    <row r="971">
      <c r="G971" s="22"/>
    </row>
    <row r="972">
      <c r="G972" s="22"/>
    </row>
    <row r="973">
      <c r="G973" s="22"/>
    </row>
    <row r="974">
      <c r="G974" s="22"/>
    </row>
    <row r="975">
      <c r="G975" s="22"/>
    </row>
    <row r="976">
      <c r="G976" s="22"/>
    </row>
    <row r="977">
      <c r="G977" s="22"/>
    </row>
    <row r="978">
      <c r="G978" s="22"/>
    </row>
    <row r="979">
      <c r="G979" s="22"/>
    </row>
    <row r="980">
      <c r="G980" s="22"/>
    </row>
    <row r="981">
      <c r="G981" s="22"/>
    </row>
    <row r="982">
      <c r="G982" s="22"/>
    </row>
    <row r="983">
      <c r="G983" s="22"/>
    </row>
    <row r="984">
      <c r="G984" s="22"/>
    </row>
    <row r="985">
      <c r="G985" s="22"/>
    </row>
    <row r="986">
      <c r="G986" s="22"/>
    </row>
    <row r="987">
      <c r="G987" s="22"/>
    </row>
    <row r="988">
      <c r="G988" s="22"/>
    </row>
    <row r="989">
      <c r="G989" s="22"/>
    </row>
    <row r="990">
      <c r="G990" s="22"/>
    </row>
    <row r="991">
      <c r="G991" s="22"/>
    </row>
    <row r="992">
      <c r="G992" s="22"/>
    </row>
    <row r="993">
      <c r="G993" s="22"/>
    </row>
    <row r="994">
      <c r="G994" s="22"/>
    </row>
    <row r="995">
      <c r="G995" s="22"/>
    </row>
    <row r="996">
      <c r="G996" s="22"/>
    </row>
    <row r="997">
      <c r="G997" s="22"/>
    </row>
    <row r="998">
      <c r="G998" s="22"/>
    </row>
    <row r="999">
      <c r="G999" s="22"/>
    </row>
    <row r="1000">
      <c r="G1000" s="22"/>
    </row>
    <row r="1001">
      <c r="G1001" s="22"/>
    </row>
    <row r="1002">
      <c r="G1002" s="22"/>
    </row>
    <row r="1003">
      <c r="G1003" s="22"/>
    </row>
    <row r="1004">
      <c r="G1004" s="22"/>
    </row>
    <row r="1005">
      <c r="G1005" s="22"/>
    </row>
    <row r="1006">
      <c r="G1006" s="22"/>
    </row>
    <row r="1007">
      <c r="G1007" s="22"/>
    </row>
    <row r="1008">
      <c r="G1008" s="22"/>
    </row>
    <row r="1009">
      <c r="G1009" s="22"/>
    </row>
    <row r="1010">
      <c r="G1010" s="22"/>
    </row>
    <row r="1011">
      <c r="G1011" s="22"/>
    </row>
    <row r="1012">
      <c r="G1012" s="22"/>
    </row>
    <row r="1013">
      <c r="G1013" s="22"/>
    </row>
    <row r="1014">
      <c r="G1014" s="22"/>
    </row>
    <row r="1015">
      <c r="G1015" s="22"/>
    </row>
    <row r="1016">
      <c r="G1016" s="22"/>
    </row>
    <row r="1017">
      <c r="G1017" s="22"/>
    </row>
    <row r="1018">
      <c r="G1018" s="22"/>
    </row>
    <row r="1019">
      <c r="G1019" s="22"/>
    </row>
    <row r="1020">
      <c r="G1020" s="22"/>
    </row>
    <row r="1021">
      <c r="G1021" s="22"/>
    </row>
    <row r="1022">
      <c r="G1022" s="22"/>
    </row>
    <row r="1023">
      <c r="G1023" s="22"/>
    </row>
    <row r="1024">
      <c r="G1024" s="22"/>
    </row>
    <row r="1025">
      <c r="G1025" s="22"/>
    </row>
    <row r="1026">
      <c r="G1026" s="22"/>
    </row>
    <row r="1027">
      <c r="G1027" s="22"/>
    </row>
    <row r="1028">
      <c r="G1028" s="22"/>
    </row>
    <row r="1029">
      <c r="G1029" s="22"/>
    </row>
    <row r="1030">
      <c r="G1030" s="22"/>
    </row>
    <row r="1031">
      <c r="G1031" s="22"/>
    </row>
    <row r="1032">
      <c r="G1032" s="22"/>
    </row>
    <row r="1033">
      <c r="G1033" s="22"/>
    </row>
    <row r="1034">
      <c r="G1034" s="22"/>
    </row>
    <row r="1035">
      <c r="G1035" s="22"/>
    </row>
    <row r="1036">
      <c r="G1036" s="22"/>
    </row>
    <row r="1037">
      <c r="G1037" s="22"/>
    </row>
    <row r="1038">
      <c r="G1038" s="22"/>
    </row>
    <row r="1039">
      <c r="G1039" s="22"/>
    </row>
    <row r="1040">
      <c r="G1040" s="22"/>
    </row>
    <row r="1041">
      <c r="G1041" s="22"/>
    </row>
    <row r="1042">
      <c r="G1042" s="22"/>
    </row>
    <row r="1043">
      <c r="G1043" s="22"/>
    </row>
    <row r="1044">
      <c r="G1044" s="22"/>
    </row>
    <row r="1045">
      <c r="G1045" s="22"/>
    </row>
    <row r="1046">
      <c r="G1046" s="22"/>
    </row>
    <row r="1047">
      <c r="G1047" s="22"/>
    </row>
    <row r="1048">
      <c r="G1048" s="22"/>
    </row>
    <row r="1049">
      <c r="G1049" s="22"/>
    </row>
    <row r="1050">
      <c r="G1050" s="22"/>
    </row>
    <row r="1051">
      <c r="G1051" s="22"/>
    </row>
    <row r="1052">
      <c r="G1052" s="22"/>
    </row>
    <row r="1053">
      <c r="G1053" s="22"/>
    </row>
    <row r="1054">
      <c r="G1054" s="22"/>
    </row>
    <row r="1055">
      <c r="G1055" s="22"/>
    </row>
    <row r="1056">
      <c r="G1056" s="22"/>
    </row>
    <row r="1057">
      <c r="G1057" s="22"/>
    </row>
    <row r="1058">
      <c r="G1058" s="22"/>
    </row>
    <row r="1059">
      <c r="G1059" s="22"/>
    </row>
    <row r="1060">
      <c r="G1060" s="22"/>
    </row>
    <row r="1061">
      <c r="G1061" s="22"/>
    </row>
    <row r="1062">
      <c r="G1062" s="22"/>
    </row>
    <row r="1063">
      <c r="G1063" s="22"/>
    </row>
    <row r="1064">
      <c r="G1064" s="22"/>
    </row>
    <row r="1065">
      <c r="G1065" s="22"/>
    </row>
    <row r="1066">
      <c r="G1066" s="22"/>
    </row>
    <row r="1067">
      <c r="G1067" s="22"/>
    </row>
    <row r="1068">
      <c r="G1068" s="22"/>
    </row>
    <row r="1069">
      <c r="G1069" s="22"/>
    </row>
    <row r="1070">
      <c r="G1070" s="22"/>
    </row>
    <row r="1071">
      <c r="G1071" s="22"/>
    </row>
    <row r="1072">
      <c r="G1072" s="22"/>
    </row>
    <row r="1073">
      <c r="G1073" s="22"/>
    </row>
    <row r="1074">
      <c r="G1074" s="22"/>
    </row>
    <row r="1075">
      <c r="G1075" s="22"/>
    </row>
    <row r="1076">
      <c r="G1076" s="22"/>
    </row>
    <row r="1077">
      <c r="G1077" s="22"/>
    </row>
    <row r="1078">
      <c r="G1078" s="22"/>
    </row>
    <row r="1079">
      <c r="G1079" s="22"/>
    </row>
    <row r="1080">
      <c r="G1080" s="22"/>
    </row>
    <row r="1081">
      <c r="G1081" s="22"/>
    </row>
    <row r="1082">
      <c r="G1082" s="22"/>
    </row>
    <row r="1083">
      <c r="G1083" s="22"/>
    </row>
    <row r="1084">
      <c r="G1084" s="22"/>
    </row>
    <row r="1085">
      <c r="G1085" s="22"/>
    </row>
    <row r="1086">
      <c r="G1086" s="22"/>
    </row>
    <row r="1087">
      <c r="G1087" s="22"/>
    </row>
    <row r="1088">
      <c r="G1088" s="22"/>
    </row>
    <row r="1089">
      <c r="G1089" s="22"/>
    </row>
    <row r="1090">
      <c r="G1090" s="22"/>
    </row>
    <row r="1091">
      <c r="G1091" s="22"/>
    </row>
    <row r="1092">
      <c r="G1092" s="22"/>
    </row>
    <row r="1093">
      <c r="G1093" s="22"/>
    </row>
    <row r="1094">
      <c r="G1094" s="22"/>
    </row>
    <row r="1095">
      <c r="G1095" s="22"/>
    </row>
    <row r="1096">
      <c r="G1096" s="22"/>
    </row>
    <row r="1097">
      <c r="G1097" s="22"/>
    </row>
    <row r="1098">
      <c r="G1098" s="22"/>
    </row>
    <row r="1099">
      <c r="G1099" s="22"/>
    </row>
    <row r="1100">
      <c r="G1100" s="22"/>
    </row>
    <row r="1101">
      <c r="G1101" s="22"/>
    </row>
    <row r="1102">
      <c r="G1102" s="22"/>
    </row>
    <row r="1103">
      <c r="G1103" s="22"/>
    </row>
    <row r="1104">
      <c r="G1104" s="22"/>
    </row>
    <row r="1105">
      <c r="G1105" s="22"/>
    </row>
    <row r="1106">
      <c r="G1106" s="22"/>
    </row>
    <row r="1107">
      <c r="G1107" s="22"/>
    </row>
    <row r="1108">
      <c r="G1108" s="22"/>
    </row>
    <row r="1109">
      <c r="G1109" s="22"/>
    </row>
    <row r="1110">
      <c r="G1110" s="22"/>
    </row>
    <row r="1111">
      <c r="G1111" s="22"/>
    </row>
    <row r="1112">
      <c r="G1112" s="22"/>
    </row>
    <row r="1113">
      <c r="G1113" s="22"/>
    </row>
    <row r="1114">
      <c r="G1114" s="22"/>
    </row>
    <row r="1115">
      <c r="G1115" s="22"/>
    </row>
    <row r="1116">
      <c r="G1116" s="22"/>
    </row>
    <row r="1117">
      <c r="G1117" s="22"/>
    </row>
    <row r="1118">
      <c r="G1118" s="22"/>
    </row>
    <row r="1119">
      <c r="G1119" s="22"/>
    </row>
    <row r="1120">
      <c r="G1120" s="22"/>
    </row>
    <row r="1121">
      <c r="G1121" s="22"/>
    </row>
    <row r="1122">
      <c r="G1122" s="22"/>
    </row>
    <row r="1123">
      <c r="G1123" s="22"/>
    </row>
    <row r="1124">
      <c r="G1124" s="22"/>
    </row>
    <row r="1125">
      <c r="G1125" s="22"/>
    </row>
    <row r="1126">
      <c r="G1126" s="22"/>
    </row>
    <row r="1127">
      <c r="G1127" s="22"/>
    </row>
    <row r="1128">
      <c r="G1128" s="22"/>
    </row>
    <row r="1129">
      <c r="G1129" s="22"/>
    </row>
    <row r="1130">
      <c r="G1130" s="22"/>
    </row>
    <row r="1131">
      <c r="G1131" s="22"/>
    </row>
    <row r="1132">
      <c r="G1132" s="22"/>
    </row>
    <row r="1133">
      <c r="G1133" s="22"/>
    </row>
    <row r="1134">
      <c r="G1134" s="22"/>
    </row>
    <row r="1135">
      <c r="G1135" s="22"/>
    </row>
    <row r="1136">
      <c r="G1136" s="22"/>
    </row>
    <row r="1137">
      <c r="G1137" s="22"/>
    </row>
  </sheetData>
  <mergeCells count="2">
    <mergeCell ref="A1:F1"/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8.88"/>
    <col customWidth="1" min="3" max="3" width="16.38"/>
    <col customWidth="1" min="4" max="4" width="13.88"/>
    <col customWidth="1" min="5" max="5" width="26.88"/>
    <col customWidth="1" min="6" max="6" width="18.5"/>
    <col customWidth="1" min="7" max="7" width="25.13"/>
    <col customWidth="1" min="8" max="11" width="16.38"/>
    <col customWidth="1" min="12" max="12" width="31.38"/>
  </cols>
  <sheetData>
    <row r="1" ht="30.0" customHeight="1">
      <c r="A1" s="1" t="s">
        <v>1</v>
      </c>
    </row>
    <row r="2" ht="33.75" customHeight="1">
      <c r="A2" s="3" t="s">
        <v>5</v>
      </c>
    </row>
    <row r="3" ht="24.0" customHeight="1">
      <c r="A3" s="4" t="s">
        <v>7</v>
      </c>
      <c r="B3" s="4" t="s">
        <v>9</v>
      </c>
      <c r="C3" s="4" t="s">
        <v>11</v>
      </c>
      <c r="D3" s="4" t="s">
        <v>13</v>
      </c>
      <c r="E3" s="4" t="s">
        <v>15</v>
      </c>
      <c r="F3" s="4" t="s">
        <v>18</v>
      </c>
      <c r="G3" s="4" t="s">
        <v>19</v>
      </c>
      <c r="H3" s="4" t="s">
        <v>21</v>
      </c>
      <c r="I3" s="4" t="s">
        <v>22</v>
      </c>
      <c r="J3" s="4" t="s">
        <v>24</v>
      </c>
      <c r="K3" s="4" t="s">
        <v>25</v>
      </c>
      <c r="L3" s="4" t="s">
        <v>27</v>
      </c>
    </row>
    <row r="4">
      <c r="A4" s="7">
        <v>46235.0</v>
      </c>
      <c r="B4" s="9" t="s">
        <v>33</v>
      </c>
      <c r="C4" s="9" t="s">
        <v>35</v>
      </c>
      <c r="D4" s="9" t="s">
        <v>23</v>
      </c>
      <c r="E4" s="17" t="str">
        <f>IF(D4="","",IFERROR(VLOOKUP(D4,COA!A:B,2,FALSE),"-"))</f>
        <v>Kas Toko (POS)</v>
      </c>
      <c r="F4" s="9" t="s">
        <v>43</v>
      </c>
      <c r="G4" s="17" t="str">
        <f>IF(F4="","",IFERROR(VLOOKUP(F4,COA!A:B,2,FALSE),"-"))</f>
        <v>Penjualan — POS Toko</v>
      </c>
      <c r="H4" s="19">
        <v>5000000.0</v>
      </c>
      <c r="I4" s="19">
        <v>0.0</v>
      </c>
      <c r="J4" s="19">
        <v>0.0</v>
      </c>
      <c r="K4" s="20">
        <f t="shared" ref="K4:K500" si="1">IF(H4="","",H4-I4-J4)</f>
        <v>5000000</v>
      </c>
      <c r="L4" s="9" t="s">
        <v>44</v>
      </c>
    </row>
    <row r="5">
      <c r="A5" s="7">
        <v>46235.0</v>
      </c>
      <c r="B5" s="9" t="s">
        <v>45</v>
      </c>
      <c r="C5" s="9" t="s">
        <v>35</v>
      </c>
      <c r="D5" s="9" t="s">
        <v>46</v>
      </c>
      <c r="E5" s="17" t="str">
        <f>IF(D5="","",IFERROR(VLOOKUP(D5,COA!A:B,2,FALSE),"-"))</f>
        <v>Kas Bank BCA CV Sinar Mandani</v>
      </c>
      <c r="F5" s="9" t="s">
        <v>43</v>
      </c>
      <c r="G5" s="17" t="str">
        <f>IF(F5="","",IFERROR(VLOOKUP(F5,COA!A:B,2,FALSE),"-"))</f>
        <v>Penjualan — POS Toko</v>
      </c>
      <c r="H5" s="19">
        <v>2000000.0</v>
      </c>
      <c r="I5" s="19">
        <v>0.0</v>
      </c>
      <c r="J5" s="19">
        <v>10000.0</v>
      </c>
      <c r="K5" s="20">
        <f t="shared" si="1"/>
        <v>1990000</v>
      </c>
      <c r="L5" s="9" t="s">
        <v>47</v>
      </c>
    </row>
    <row r="6">
      <c r="A6" s="7">
        <v>46236.0</v>
      </c>
      <c r="B6" s="9" t="s">
        <v>48</v>
      </c>
      <c r="C6" s="9" t="s">
        <v>50</v>
      </c>
      <c r="D6" s="9" t="s">
        <v>51</v>
      </c>
      <c r="E6" s="17" t="str">
        <f>IF(D6="","",IFERROR(VLOOKUP(D6,COA!A:B,2,FALSE),"-"))</f>
        <v>Piutang Web Raabiha</v>
      </c>
      <c r="F6" s="9" t="s">
        <v>52</v>
      </c>
      <c r="G6" s="17" t="str">
        <f>IF(F6="","",IFERROR(VLOOKUP(F6,COA!A:B,2,FALSE),"-"))</f>
        <v>Penjualan — Web Raabiha</v>
      </c>
      <c r="H6" s="19">
        <v>3000000.0</v>
      </c>
      <c r="I6" s="19">
        <v>0.0</v>
      </c>
      <c r="J6" s="19">
        <v>20000.0</v>
      </c>
      <c r="K6" s="20">
        <f t="shared" si="1"/>
        <v>2980000</v>
      </c>
      <c r="L6" s="9" t="s">
        <v>53</v>
      </c>
    </row>
    <row r="7">
      <c r="A7" s="7">
        <v>46237.0</v>
      </c>
      <c r="B7" s="9" t="s">
        <v>54</v>
      </c>
      <c r="C7" s="9" t="s">
        <v>55</v>
      </c>
      <c r="D7" s="9" t="s">
        <v>56</v>
      </c>
      <c r="E7" s="17" t="str">
        <f>IF(D7="","",IFERROR(VLOOKUP(D7,COA!A:B,2,FALSE),"-"))</f>
        <v>Piutang Shopee</v>
      </c>
      <c r="F7" s="9" t="s">
        <v>57</v>
      </c>
      <c r="G7" s="17" t="str">
        <f>IF(F7="","",IFERROR(VLOOKUP(F7,COA!A:B,2,FALSE),"-"))</f>
        <v>Penjualan — Shopee</v>
      </c>
      <c r="H7" s="19">
        <v>1.0E7</v>
      </c>
      <c r="I7" s="19">
        <v>0.0</v>
      </c>
      <c r="J7" s="19">
        <v>1500000.0</v>
      </c>
      <c r="K7" s="20">
        <f t="shared" si="1"/>
        <v>8500000</v>
      </c>
      <c r="L7" s="9" t="s">
        <v>58</v>
      </c>
    </row>
    <row r="8">
      <c r="A8" s="7">
        <v>46238.0</v>
      </c>
      <c r="B8" s="9" t="s">
        <v>59</v>
      </c>
      <c r="C8" s="9" t="s">
        <v>60</v>
      </c>
      <c r="D8" s="9" t="s">
        <v>61</v>
      </c>
      <c r="E8" s="17" t="str">
        <f>IF(D8="","",IFERROR(VLOOKUP(D8,COA!A:B,2,FALSE),"-"))</f>
        <v>Piutang TikTok Shop</v>
      </c>
      <c r="F8" s="9" t="s">
        <v>69</v>
      </c>
      <c r="G8" s="17" t="str">
        <f>IF(F8="","",IFERROR(VLOOKUP(F8,COA!A:B,2,FALSE),"-"))</f>
        <v>Penjualan — TikTok Shop</v>
      </c>
      <c r="H8" s="19">
        <v>8000000.0</v>
      </c>
      <c r="I8" s="19">
        <v>0.0</v>
      </c>
      <c r="J8" s="19">
        <v>1200000.0</v>
      </c>
      <c r="K8" s="20">
        <f t="shared" si="1"/>
        <v>6800000</v>
      </c>
      <c r="L8" s="9" t="s">
        <v>70</v>
      </c>
    </row>
    <row r="9">
      <c r="A9" s="7">
        <v>46239.0</v>
      </c>
      <c r="B9" s="9" t="s">
        <v>71</v>
      </c>
      <c r="C9" s="9" t="s">
        <v>72</v>
      </c>
      <c r="D9" s="9" t="s">
        <v>73</v>
      </c>
      <c r="E9" s="17" t="str">
        <f>IF(D9="","",IFERROR(VLOOKUP(D9,COA!A:B,2,FALSE),"-"))</f>
        <v>Piutang Tokopedia</v>
      </c>
      <c r="F9" s="9" t="s">
        <v>74</v>
      </c>
      <c r="G9" s="17" t="str">
        <f>IF(F9="","",IFERROR(VLOOKUP(F9,COA!A:B,2,FALSE),"-"))</f>
        <v>Penjualan — Tokopedia</v>
      </c>
      <c r="H9" s="19">
        <v>4000000.0</v>
      </c>
      <c r="I9" s="19">
        <v>0.0</v>
      </c>
      <c r="J9" s="19">
        <v>400000.0</v>
      </c>
      <c r="K9" s="20">
        <f t="shared" si="1"/>
        <v>3600000</v>
      </c>
      <c r="L9" s="9" t="s">
        <v>77</v>
      </c>
    </row>
    <row r="10">
      <c r="A10" s="7">
        <v>46240.0</v>
      </c>
      <c r="B10" s="9" t="s">
        <v>78</v>
      </c>
      <c r="C10" s="9" t="s">
        <v>79</v>
      </c>
      <c r="D10" s="9" t="s">
        <v>80</v>
      </c>
      <c r="E10" s="17" t="str">
        <f>IF(D10="","",IFERROR(VLOOKUP(D10,COA!A:B,2,FALSE),"-"))</f>
        <v>Piutang Lazada</v>
      </c>
      <c r="F10" s="9" t="s">
        <v>81</v>
      </c>
      <c r="G10" s="17" t="str">
        <f>IF(F10="","",IFERROR(VLOOKUP(F10,COA!A:B,2,FALSE),"-"))</f>
        <v>Penjualan — Lazada</v>
      </c>
      <c r="H10" s="19">
        <v>2000000.0</v>
      </c>
      <c r="I10" s="19">
        <v>0.0</v>
      </c>
      <c r="J10" s="19">
        <v>200000.0</v>
      </c>
      <c r="K10" s="20">
        <f t="shared" si="1"/>
        <v>1800000</v>
      </c>
      <c r="L10" s="9" t="s">
        <v>82</v>
      </c>
    </row>
    <row r="11">
      <c r="A11" s="7"/>
      <c r="C11" s="17"/>
      <c r="D11" s="17"/>
      <c r="E11" s="17" t="str">
        <f>IF(D11="","",IFERROR(VLOOKUP(D11,COA!A:B,2,FALSE),"-"))</f>
        <v/>
      </c>
      <c r="F11" s="17"/>
      <c r="G11" s="17" t="str">
        <f>IF(F11="","",IFERROR(VLOOKUP(F11,COA!A:B,2,FALSE),"-"))</f>
        <v/>
      </c>
      <c r="I11" s="20"/>
      <c r="J11" s="20"/>
      <c r="K11" s="20" t="str">
        <f t="shared" si="1"/>
        <v/>
      </c>
    </row>
    <row r="12">
      <c r="A12" s="7"/>
      <c r="C12" s="17"/>
      <c r="D12" s="17"/>
      <c r="E12" s="17" t="str">
        <f>IF(D12="","",IFERROR(VLOOKUP(D12,COA!A:B,2,FALSE),"-"))</f>
        <v/>
      </c>
      <c r="F12" s="17"/>
      <c r="G12" s="17" t="str">
        <f>IF(F12="","",IFERROR(VLOOKUP(F12,COA!A:B,2,FALSE),"-"))</f>
        <v/>
      </c>
      <c r="H12" s="19"/>
      <c r="I12" s="20"/>
      <c r="J12" s="20"/>
      <c r="K12" s="20" t="str">
        <f t="shared" si="1"/>
        <v/>
      </c>
    </row>
    <row r="13">
      <c r="A13" s="7"/>
      <c r="C13" s="17"/>
      <c r="D13" s="17"/>
      <c r="E13" s="17" t="str">
        <f>IF(D13="","",IFERROR(VLOOKUP(D13,COA!A:B,2,FALSE),"-"))</f>
        <v/>
      </c>
      <c r="F13" s="17"/>
      <c r="G13" s="17" t="str">
        <f>IF(F13="","",IFERROR(VLOOKUP(F13,COA!A:B,2,FALSE),"-"))</f>
        <v/>
      </c>
      <c r="H13" s="19"/>
      <c r="I13" s="20"/>
      <c r="J13" s="20"/>
      <c r="K13" s="20" t="str">
        <f t="shared" si="1"/>
        <v/>
      </c>
    </row>
    <row r="14">
      <c r="A14" s="7"/>
      <c r="C14" s="17"/>
      <c r="D14" s="17"/>
      <c r="E14" s="17" t="str">
        <f>IF(D14="","",IFERROR(VLOOKUP(D14,COA!A:B,2,FALSE),"-"))</f>
        <v/>
      </c>
      <c r="F14" s="17"/>
      <c r="G14" s="17" t="str">
        <f>IF(F14="","",IFERROR(VLOOKUP(F14,COA!A:B,2,FALSE),"-"))</f>
        <v/>
      </c>
      <c r="H14" s="19"/>
      <c r="I14" s="20"/>
      <c r="J14" s="20"/>
      <c r="K14" s="20" t="str">
        <f t="shared" si="1"/>
        <v/>
      </c>
    </row>
    <row r="15">
      <c r="A15" s="7"/>
      <c r="C15" s="17"/>
      <c r="D15" s="17"/>
      <c r="E15" s="17" t="str">
        <f>IF(D15="","",IFERROR(VLOOKUP(D15,COA!A:B,2,FALSE),"-"))</f>
        <v/>
      </c>
      <c r="F15" s="17"/>
      <c r="G15" s="17" t="str">
        <f>IF(F15="","",IFERROR(VLOOKUP(F15,COA!A:B,2,FALSE),"-"))</f>
        <v/>
      </c>
      <c r="H15" s="19"/>
      <c r="I15" s="20"/>
      <c r="J15" s="20"/>
      <c r="K15" s="20" t="str">
        <f t="shared" si="1"/>
        <v/>
      </c>
    </row>
    <row r="16">
      <c r="A16" s="7"/>
      <c r="C16" s="17"/>
      <c r="D16" s="17"/>
      <c r="E16" s="17" t="str">
        <f>IF(D16="","",IFERROR(VLOOKUP(D16,COA!A:B,2,FALSE),"-"))</f>
        <v/>
      </c>
      <c r="F16" s="17"/>
      <c r="G16" s="17" t="str">
        <f>IF(F16="","",IFERROR(VLOOKUP(F16,COA!A:B,2,FALSE),"-"))</f>
        <v/>
      </c>
      <c r="H16" s="19"/>
      <c r="I16" s="20"/>
      <c r="J16" s="20"/>
      <c r="K16" s="20" t="str">
        <f t="shared" si="1"/>
        <v/>
      </c>
    </row>
    <row r="17">
      <c r="A17" s="7"/>
      <c r="C17" s="17"/>
      <c r="D17" s="17"/>
      <c r="E17" s="17" t="str">
        <f>IF(D17="","",IFERROR(VLOOKUP(D17,COA!A:B,2,FALSE),"-"))</f>
        <v/>
      </c>
      <c r="F17" s="17"/>
      <c r="G17" s="17" t="str">
        <f>IF(F17="","",IFERROR(VLOOKUP(F17,COA!A:B,2,FALSE),"-"))</f>
        <v/>
      </c>
      <c r="H17" s="19"/>
      <c r="I17" s="20"/>
      <c r="J17" s="20"/>
      <c r="K17" s="20" t="str">
        <f t="shared" si="1"/>
        <v/>
      </c>
    </row>
    <row r="18">
      <c r="A18" s="7"/>
      <c r="C18" s="17"/>
      <c r="D18" s="17"/>
      <c r="E18" s="17" t="str">
        <f>IF(D18="","",IFERROR(VLOOKUP(D18,COA!A:B,2,FALSE),"-"))</f>
        <v/>
      </c>
      <c r="F18" s="17"/>
      <c r="G18" s="17" t="str">
        <f>IF(F18="","",IFERROR(VLOOKUP(F18,COA!A:B,2,FALSE),"-"))</f>
        <v/>
      </c>
      <c r="H18" s="19"/>
      <c r="I18" s="20"/>
      <c r="J18" s="20"/>
      <c r="K18" s="20" t="str">
        <f t="shared" si="1"/>
        <v/>
      </c>
    </row>
    <row r="19">
      <c r="A19" s="7"/>
      <c r="C19" s="17"/>
      <c r="D19" s="17"/>
      <c r="E19" s="17" t="str">
        <f>IF(D19="","",IFERROR(VLOOKUP(D19,COA!A:B,2,FALSE),"-"))</f>
        <v/>
      </c>
      <c r="F19" s="17"/>
      <c r="G19" s="17" t="str">
        <f>IF(F19="","",IFERROR(VLOOKUP(F19,COA!A:B,2,FALSE),"-"))</f>
        <v/>
      </c>
      <c r="H19" s="19"/>
      <c r="I19" s="20"/>
      <c r="J19" s="20"/>
      <c r="K19" s="20" t="str">
        <f t="shared" si="1"/>
        <v/>
      </c>
    </row>
    <row r="20">
      <c r="A20" s="7"/>
      <c r="C20" s="17"/>
      <c r="D20" s="17"/>
      <c r="E20" s="17" t="str">
        <f>IF(D20="","",IFERROR(VLOOKUP(D20,COA!A:B,2,FALSE),"-"))</f>
        <v/>
      </c>
      <c r="F20" s="17"/>
      <c r="G20" s="17" t="str">
        <f>IF(F20="","",IFERROR(VLOOKUP(F20,COA!A:B,2,FALSE),"-"))</f>
        <v/>
      </c>
      <c r="H20" s="19"/>
      <c r="I20" s="20"/>
      <c r="J20" s="20"/>
      <c r="K20" s="20" t="str">
        <f t="shared" si="1"/>
        <v/>
      </c>
    </row>
    <row r="21">
      <c r="A21" s="7"/>
      <c r="C21" s="17"/>
      <c r="D21" s="17"/>
      <c r="E21" s="17" t="str">
        <f>IF(D21="","",IFERROR(VLOOKUP(D21,COA!A:B,2,FALSE),"-"))</f>
        <v/>
      </c>
      <c r="F21" s="17"/>
      <c r="G21" s="17" t="str">
        <f>IF(F21="","",IFERROR(VLOOKUP(F21,COA!A:B,2,FALSE),"-"))</f>
        <v/>
      </c>
      <c r="H21" s="19"/>
      <c r="I21" s="20"/>
      <c r="J21" s="20"/>
      <c r="K21" s="20" t="str">
        <f t="shared" si="1"/>
        <v/>
      </c>
    </row>
    <row r="22">
      <c r="A22" s="7"/>
      <c r="C22" s="17"/>
      <c r="D22" s="17"/>
      <c r="E22" s="17" t="str">
        <f>IF(D22="","",IFERROR(VLOOKUP(D22,COA!A:B,2,FALSE),"-"))</f>
        <v/>
      </c>
      <c r="F22" s="17"/>
      <c r="G22" s="17" t="str">
        <f>IF(F22="","",IFERROR(VLOOKUP(F22,COA!A:B,2,FALSE),"-"))</f>
        <v/>
      </c>
      <c r="H22" s="19"/>
      <c r="I22" s="20"/>
      <c r="J22" s="20"/>
      <c r="K22" s="20" t="str">
        <f t="shared" si="1"/>
        <v/>
      </c>
    </row>
    <row r="23">
      <c r="A23" s="7"/>
      <c r="C23" s="17"/>
      <c r="D23" s="17"/>
      <c r="E23" s="17" t="str">
        <f>IF(D23="","",IFERROR(VLOOKUP(D23,COA!A:B,2,FALSE),"-"))</f>
        <v/>
      </c>
      <c r="F23" s="17"/>
      <c r="G23" s="17" t="str">
        <f>IF(F23="","",IFERROR(VLOOKUP(F23,COA!A:B,2,FALSE),"-"))</f>
        <v/>
      </c>
      <c r="H23" s="19"/>
      <c r="I23" s="20"/>
      <c r="J23" s="20"/>
      <c r="K23" s="20" t="str">
        <f t="shared" si="1"/>
        <v/>
      </c>
    </row>
    <row r="24">
      <c r="A24" s="7"/>
      <c r="C24" s="17"/>
      <c r="D24" s="17"/>
      <c r="E24" s="17" t="str">
        <f>IF(D24="","",IFERROR(VLOOKUP(D24,COA!A:B,2,FALSE),"-"))</f>
        <v/>
      </c>
      <c r="F24" s="17"/>
      <c r="G24" s="17" t="str">
        <f>IF(F24="","",IFERROR(VLOOKUP(F24,COA!A:B,2,FALSE),"-"))</f>
        <v/>
      </c>
      <c r="H24" s="19"/>
      <c r="I24" s="20"/>
      <c r="J24" s="20"/>
      <c r="K24" s="20" t="str">
        <f t="shared" si="1"/>
        <v/>
      </c>
    </row>
    <row r="25">
      <c r="A25" s="7"/>
      <c r="C25" s="17"/>
      <c r="D25" s="17"/>
      <c r="E25" s="17" t="str">
        <f>IF(D25="","",IFERROR(VLOOKUP(D25,COA!A:B,2,FALSE),"-"))</f>
        <v/>
      </c>
      <c r="F25" s="17"/>
      <c r="G25" s="17" t="str">
        <f>IF(F25="","",IFERROR(VLOOKUP(F25,COA!A:B,2,FALSE),"-"))</f>
        <v/>
      </c>
      <c r="H25" s="19"/>
      <c r="I25" s="20"/>
      <c r="J25" s="20"/>
      <c r="K25" s="20" t="str">
        <f t="shared" si="1"/>
        <v/>
      </c>
    </row>
    <row r="26">
      <c r="A26" s="7"/>
      <c r="C26" s="17"/>
      <c r="D26" s="17"/>
      <c r="E26" s="17" t="str">
        <f>IF(D26="","",IFERROR(VLOOKUP(D26,COA!A:B,2,FALSE),"-"))</f>
        <v/>
      </c>
      <c r="F26" s="17"/>
      <c r="G26" s="17" t="str">
        <f>IF(F26="","",IFERROR(VLOOKUP(F26,COA!A:B,2,FALSE),"-"))</f>
        <v/>
      </c>
      <c r="H26" s="19"/>
      <c r="I26" s="20"/>
      <c r="J26" s="20"/>
      <c r="K26" s="20" t="str">
        <f t="shared" si="1"/>
        <v/>
      </c>
    </row>
    <row r="27">
      <c r="A27" s="7"/>
      <c r="C27" s="17"/>
      <c r="D27" s="17"/>
      <c r="E27" s="17" t="str">
        <f>IF(D27="","",IFERROR(VLOOKUP(D27,COA!A:B,2,FALSE),"-"))</f>
        <v/>
      </c>
      <c r="F27" s="17"/>
      <c r="G27" s="17" t="str">
        <f>IF(F27="","",IFERROR(VLOOKUP(F27,COA!A:B,2,FALSE),"-"))</f>
        <v/>
      </c>
      <c r="H27" s="19"/>
      <c r="I27" s="20"/>
      <c r="J27" s="20"/>
      <c r="K27" s="20" t="str">
        <f t="shared" si="1"/>
        <v/>
      </c>
    </row>
    <row r="28">
      <c r="A28" s="7"/>
      <c r="C28" s="17"/>
      <c r="D28" s="17"/>
      <c r="E28" s="17" t="str">
        <f>IF(D28="","",IFERROR(VLOOKUP(D28,COA!A:B,2,FALSE),"-"))</f>
        <v/>
      </c>
      <c r="F28" s="17"/>
      <c r="G28" s="17" t="str">
        <f>IF(F28="","",IFERROR(VLOOKUP(F28,COA!A:B,2,FALSE),"-"))</f>
        <v/>
      </c>
      <c r="H28" s="19"/>
      <c r="I28" s="20"/>
      <c r="J28" s="20"/>
      <c r="K28" s="20" t="str">
        <f t="shared" si="1"/>
        <v/>
      </c>
    </row>
    <row r="29">
      <c r="A29" s="7"/>
      <c r="C29" s="17"/>
      <c r="D29" s="17"/>
      <c r="E29" s="17" t="str">
        <f>IF(D29="","",IFERROR(VLOOKUP(D29,COA!A:B,2,FALSE),"-"))</f>
        <v/>
      </c>
      <c r="F29" s="17"/>
      <c r="G29" s="17" t="str">
        <f>IF(F29="","",IFERROR(VLOOKUP(F29,COA!A:B,2,FALSE),"-"))</f>
        <v/>
      </c>
      <c r="H29" s="19"/>
      <c r="I29" s="20"/>
      <c r="J29" s="20"/>
      <c r="K29" s="20" t="str">
        <f t="shared" si="1"/>
        <v/>
      </c>
    </row>
    <row r="30">
      <c r="A30" s="7"/>
      <c r="C30" s="17"/>
      <c r="D30" s="17"/>
      <c r="E30" s="17" t="str">
        <f>IF(D30="","",IFERROR(VLOOKUP(D30,COA!A:B,2,FALSE),"-"))</f>
        <v/>
      </c>
      <c r="F30" s="17"/>
      <c r="G30" s="17" t="str">
        <f>IF(F30="","",IFERROR(VLOOKUP(F30,COA!A:B,2,FALSE),"-"))</f>
        <v/>
      </c>
      <c r="H30" s="19"/>
      <c r="I30" s="20"/>
      <c r="J30" s="20"/>
      <c r="K30" s="20" t="str">
        <f t="shared" si="1"/>
        <v/>
      </c>
    </row>
    <row r="31">
      <c r="A31" s="7"/>
      <c r="C31" s="17"/>
      <c r="D31" s="17"/>
      <c r="E31" s="17" t="str">
        <f>IF(D31="","",IFERROR(VLOOKUP(D31,COA!A:B,2,FALSE),"-"))</f>
        <v/>
      </c>
      <c r="F31" s="17"/>
      <c r="G31" s="17" t="str">
        <f>IF(F31="","",IFERROR(VLOOKUP(F31,COA!A:B,2,FALSE),"-"))</f>
        <v/>
      </c>
      <c r="H31" s="19"/>
      <c r="I31" s="20"/>
      <c r="J31" s="20"/>
      <c r="K31" s="20" t="str">
        <f t="shared" si="1"/>
        <v/>
      </c>
    </row>
    <row r="32">
      <c r="A32" s="7"/>
      <c r="C32" s="17"/>
      <c r="D32" s="17"/>
      <c r="E32" s="17" t="str">
        <f>IF(D32="","",IFERROR(VLOOKUP(D32,COA!A:B,2,FALSE),"-"))</f>
        <v/>
      </c>
      <c r="F32" s="17"/>
      <c r="G32" s="17" t="str">
        <f>IF(F32="","",IFERROR(VLOOKUP(F32,COA!A:B,2,FALSE),"-"))</f>
        <v/>
      </c>
      <c r="H32" s="19"/>
      <c r="I32" s="20"/>
      <c r="J32" s="20"/>
      <c r="K32" s="20" t="str">
        <f t="shared" si="1"/>
        <v/>
      </c>
    </row>
    <row r="33">
      <c r="A33" s="7"/>
      <c r="C33" s="17"/>
      <c r="D33" s="17"/>
      <c r="E33" s="17" t="str">
        <f>IF(D33="","",IFERROR(VLOOKUP(D33,COA!A:B,2,FALSE),"-"))</f>
        <v/>
      </c>
      <c r="F33" s="17"/>
      <c r="G33" s="17" t="str">
        <f>IF(F33="","",IFERROR(VLOOKUP(F33,COA!A:B,2,FALSE),"-"))</f>
        <v/>
      </c>
      <c r="H33" s="19"/>
      <c r="I33" s="20"/>
      <c r="J33" s="20"/>
      <c r="K33" s="20" t="str">
        <f t="shared" si="1"/>
        <v/>
      </c>
    </row>
    <row r="34">
      <c r="A34" s="7"/>
      <c r="C34" s="17"/>
      <c r="D34" s="17"/>
      <c r="E34" s="17" t="str">
        <f>IF(D34="","",IFERROR(VLOOKUP(D34,COA!A:B,2,FALSE),"-"))</f>
        <v/>
      </c>
      <c r="F34" s="17"/>
      <c r="G34" s="17" t="str">
        <f>IF(F34="","",IFERROR(VLOOKUP(F34,COA!A:B,2,FALSE),"-"))</f>
        <v/>
      </c>
      <c r="H34" s="19"/>
      <c r="I34" s="20"/>
      <c r="J34" s="20"/>
      <c r="K34" s="20" t="str">
        <f t="shared" si="1"/>
        <v/>
      </c>
    </row>
    <row r="35">
      <c r="A35" s="7"/>
      <c r="C35" s="17"/>
      <c r="D35" s="17"/>
      <c r="E35" s="17" t="str">
        <f>IF(D35="","",IFERROR(VLOOKUP(D35,COA!A:B,2,FALSE),"-"))</f>
        <v/>
      </c>
      <c r="F35" s="17"/>
      <c r="G35" s="17" t="str">
        <f>IF(F35="","",IFERROR(VLOOKUP(F35,COA!A:B,2,FALSE),"-"))</f>
        <v/>
      </c>
      <c r="H35" s="19"/>
      <c r="I35" s="20"/>
      <c r="J35" s="20"/>
      <c r="K35" s="20" t="str">
        <f t="shared" si="1"/>
        <v/>
      </c>
    </row>
    <row r="36">
      <c r="A36" s="7"/>
      <c r="C36" s="17"/>
      <c r="D36" s="17"/>
      <c r="E36" s="17" t="str">
        <f>IF(D36="","",IFERROR(VLOOKUP(D36,COA!A:B,2,FALSE),"-"))</f>
        <v/>
      </c>
      <c r="F36" s="17"/>
      <c r="G36" s="17" t="str">
        <f>IF(F36="","",IFERROR(VLOOKUP(F36,COA!A:B,2,FALSE),"-"))</f>
        <v/>
      </c>
      <c r="H36" s="19"/>
      <c r="I36" s="20"/>
      <c r="J36" s="20"/>
      <c r="K36" s="20" t="str">
        <f t="shared" si="1"/>
        <v/>
      </c>
    </row>
    <row r="37">
      <c r="A37" s="7"/>
      <c r="C37" s="17"/>
      <c r="D37" s="17"/>
      <c r="E37" s="17" t="str">
        <f>IF(D37="","",IFERROR(VLOOKUP(D37,COA!A:B,2,FALSE),"-"))</f>
        <v/>
      </c>
      <c r="F37" s="17"/>
      <c r="G37" s="17" t="str">
        <f>IF(F37="","",IFERROR(VLOOKUP(F37,COA!A:B,2,FALSE),"-"))</f>
        <v/>
      </c>
      <c r="H37" s="19"/>
      <c r="I37" s="20"/>
      <c r="J37" s="20"/>
      <c r="K37" s="20" t="str">
        <f t="shared" si="1"/>
        <v/>
      </c>
    </row>
    <row r="38">
      <c r="A38" s="7"/>
      <c r="C38" s="17"/>
      <c r="D38" s="17"/>
      <c r="E38" s="17" t="str">
        <f>IF(D38="","",IFERROR(VLOOKUP(D38,COA!A:B,2,FALSE),"-"))</f>
        <v/>
      </c>
      <c r="F38" s="17"/>
      <c r="G38" s="17" t="str">
        <f>IF(F38="","",IFERROR(VLOOKUP(F38,COA!A:B,2,FALSE),"-"))</f>
        <v/>
      </c>
      <c r="H38" s="19"/>
      <c r="I38" s="20"/>
      <c r="J38" s="20"/>
      <c r="K38" s="20" t="str">
        <f t="shared" si="1"/>
        <v/>
      </c>
    </row>
    <row r="39">
      <c r="A39" s="7"/>
      <c r="C39" s="17"/>
      <c r="D39" s="17"/>
      <c r="E39" s="17" t="str">
        <f>IF(D39="","",IFERROR(VLOOKUP(D39,COA!A:B,2,FALSE),"-"))</f>
        <v/>
      </c>
      <c r="F39" s="17"/>
      <c r="G39" s="17" t="str">
        <f>IF(F39="","",IFERROR(VLOOKUP(F39,COA!A:B,2,FALSE),"-"))</f>
        <v/>
      </c>
      <c r="H39" s="19"/>
      <c r="I39" s="20"/>
      <c r="J39" s="20"/>
      <c r="K39" s="20" t="str">
        <f t="shared" si="1"/>
        <v/>
      </c>
    </row>
    <row r="40">
      <c r="A40" s="7"/>
      <c r="C40" s="17"/>
      <c r="D40" s="17"/>
      <c r="E40" s="17" t="str">
        <f>IF(D40="","",IFERROR(VLOOKUP(D40,COA!A:B,2,FALSE),"-"))</f>
        <v/>
      </c>
      <c r="F40" s="17"/>
      <c r="G40" s="17" t="str">
        <f>IF(F40="","",IFERROR(VLOOKUP(F40,COA!A:B,2,FALSE),"-"))</f>
        <v/>
      </c>
      <c r="H40" s="19"/>
      <c r="I40" s="20"/>
      <c r="J40" s="20"/>
      <c r="K40" s="20" t="str">
        <f t="shared" si="1"/>
        <v/>
      </c>
    </row>
    <row r="41">
      <c r="A41" s="7"/>
      <c r="C41" s="17"/>
      <c r="D41" s="17"/>
      <c r="E41" s="17" t="str">
        <f>IF(D41="","",IFERROR(VLOOKUP(D41,COA!A:B,2,FALSE),"-"))</f>
        <v/>
      </c>
      <c r="F41" s="17"/>
      <c r="G41" s="17" t="str">
        <f>IF(F41="","",IFERROR(VLOOKUP(F41,COA!A:B,2,FALSE),"-"))</f>
        <v/>
      </c>
      <c r="H41" s="19"/>
      <c r="I41" s="20"/>
      <c r="J41" s="20"/>
      <c r="K41" s="20" t="str">
        <f t="shared" si="1"/>
        <v/>
      </c>
    </row>
    <row r="42">
      <c r="A42" s="7"/>
      <c r="C42" s="17"/>
      <c r="D42" s="17"/>
      <c r="E42" s="17" t="str">
        <f>IF(D42="","",IFERROR(VLOOKUP(D42,COA!A:B,2,FALSE),"-"))</f>
        <v/>
      </c>
      <c r="F42" s="17"/>
      <c r="G42" s="17" t="str">
        <f>IF(F42="","",IFERROR(VLOOKUP(F42,COA!A:B,2,FALSE),"-"))</f>
        <v/>
      </c>
      <c r="H42" s="19"/>
      <c r="I42" s="20"/>
      <c r="J42" s="20"/>
      <c r="K42" s="20" t="str">
        <f t="shared" si="1"/>
        <v/>
      </c>
    </row>
    <row r="43">
      <c r="A43" s="7"/>
      <c r="C43" s="17"/>
      <c r="D43" s="17"/>
      <c r="E43" s="17" t="str">
        <f>IF(D43="","",IFERROR(VLOOKUP(D43,COA!A:B,2,FALSE),"-"))</f>
        <v/>
      </c>
      <c r="F43" s="17"/>
      <c r="G43" s="17" t="str">
        <f>IF(F43="","",IFERROR(VLOOKUP(F43,COA!A:B,2,FALSE),"-"))</f>
        <v/>
      </c>
      <c r="H43" s="19"/>
      <c r="I43" s="20"/>
      <c r="J43" s="20"/>
      <c r="K43" s="20" t="str">
        <f t="shared" si="1"/>
        <v/>
      </c>
    </row>
    <row r="44">
      <c r="A44" s="7"/>
      <c r="C44" s="17"/>
      <c r="D44" s="17"/>
      <c r="E44" s="17" t="str">
        <f>IF(D44="","",IFERROR(VLOOKUP(D44,COA!A:B,2,FALSE),"-"))</f>
        <v/>
      </c>
      <c r="F44" s="17"/>
      <c r="G44" s="17" t="str">
        <f>IF(F44="","",IFERROR(VLOOKUP(F44,COA!A:B,2,FALSE),"-"))</f>
        <v/>
      </c>
      <c r="H44" s="19"/>
      <c r="I44" s="20"/>
      <c r="J44" s="20"/>
      <c r="K44" s="20" t="str">
        <f t="shared" si="1"/>
        <v/>
      </c>
    </row>
    <row r="45">
      <c r="A45" s="7"/>
      <c r="C45" s="17"/>
      <c r="D45" s="17"/>
      <c r="E45" s="17" t="str">
        <f>IF(D45="","",IFERROR(VLOOKUP(D45,COA!A:B,2,FALSE),"-"))</f>
        <v/>
      </c>
      <c r="F45" s="17"/>
      <c r="G45" s="17" t="str">
        <f>IF(F45="","",IFERROR(VLOOKUP(F45,COA!A:B,2,FALSE),"-"))</f>
        <v/>
      </c>
      <c r="H45" s="19"/>
      <c r="I45" s="20"/>
      <c r="J45" s="20"/>
      <c r="K45" s="20" t="str">
        <f t="shared" si="1"/>
        <v/>
      </c>
    </row>
    <row r="46">
      <c r="A46" s="7"/>
      <c r="C46" s="17"/>
      <c r="D46" s="17"/>
      <c r="E46" s="17" t="str">
        <f>IF(D46="","",IFERROR(VLOOKUP(D46,COA!A:B,2,FALSE),"-"))</f>
        <v/>
      </c>
      <c r="F46" s="17"/>
      <c r="G46" s="17" t="str">
        <f>IF(F46="","",IFERROR(VLOOKUP(F46,COA!A:B,2,FALSE),"-"))</f>
        <v/>
      </c>
      <c r="H46" s="19"/>
      <c r="I46" s="20"/>
      <c r="J46" s="20"/>
      <c r="K46" s="20" t="str">
        <f t="shared" si="1"/>
        <v/>
      </c>
    </row>
    <row r="47">
      <c r="A47" s="7"/>
      <c r="C47" s="17"/>
      <c r="D47" s="17"/>
      <c r="E47" s="17" t="str">
        <f>IF(D47="","",IFERROR(VLOOKUP(D47,COA!A:B,2,FALSE),"-"))</f>
        <v/>
      </c>
      <c r="F47" s="17"/>
      <c r="G47" s="17" t="str">
        <f>IF(F47="","",IFERROR(VLOOKUP(F47,COA!A:B,2,FALSE),"-"))</f>
        <v/>
      </c>
      <c r="H47" s="19"/>
      <c r="I47" s="20"/>
      <c r="J47" s="20"/>
      <c r="K47" s="20" t="str">
        <f t="shared" si="1"/>
        <v/>
      </c>
    </row>
    <row r="48">
      <c r="A48" s="7"/>
      <c r="C48" s="17"/>
      <c r="D48" s="17"/>
      <c r="E48" s="17" t="str">
        <f>IF(D48="","",IFERROR(VLOOKUP(D48,COA!A:B,2,FALSE),"-"))</f>
        <v/>
      </c>
      <c r="F48" s="17"/>
      <c r="G48" s="17" t="str">
        <f>IF(F48="","",IFERROR(VLOOKUP(F48,COA!A:B,2,FALSE),"-"))</f>
        <v/>
      </c>
      <c r="H48" s="19"/>
      <c r="I48" s="20"/>
      <c r="J48" s="20"/>
      <c r="K48" s="20" t="str">
        <f t="shared" si="1"/>
        <v/>
      </c>
    </row>
    <row r="49">
      <c r="A49" s="43"/>
      <c r="C49" s="17"/>
      <c r="D49" s="17"/>
      <c r="E49" s="17" t="str">
        <f>IF(D49="","",IFERROR(VLOOKUP(D49,COA!A:B,2,FALSE),"-"))</f>
        <v/>
      </c>
      <c r="F49" s="17"/>
      <c r="G49" s="17" t="str">
        <f>IF(F49="","",IFERROR(VLOOKUP(F49,COA!A:B,2,FALSE),"-"))</f>
        <v/>
      </c>
      <c r="H49" s="20"/>
      <c r="I49" s="20"/>
      <c r="J49" s="20"/>
      <c r="K49" s="20" t="str">
        <f t="shared" si="1"/>
        <v/>
      </c>
    </row>
    <row r="50">
      <c r="A50" s="43"/>
      <c r="C50" s="17"/>
      <c r="D50" s="17"/>
      <c r="E50" s="17" t="str">
        <f>IF(D50="","",IFERROR(VLOOKUP(D50,COA!A:B,2,FALSE),"-"))</f>
        <v/>
      </c>
      <c r="F50" s="17"/>
      <c r="G50" s="17" t="str">
        <f>IF(F50="","",IFERROR(VLOOKUP(F50,COA!A:B,2,FALSE),"-"))</f>
        <v/>
      </c>
      <c r="H50" s="20"/>
      <c r="I50" s="20"/>
      <c r="J50" s="20"/>
      <c r="K50" s="20" t="str">
        <f t="shared" si="1"/>
        <v/>
      </c>
    </row>
    <row r="51">
      <c r="A51" s="43"/>
      <c r="C51" s="17"/>
      <c r="D51" s="17"/>
      <c r="E51" s="17" t="str">
        <f>IF(D51="","",IFERROR(VLOOKUP(D51,COA!A:B,2,FALSE),"-"))</f>
        <v/>
      </c>
      <c r="F51" s="17"/>
      <c r="G51" s="17" t="str">
        <f>IF(F51="","",IFERROR(VLOOKUP(F51,COA!A:B,2,FALSE),"-"))</f>
        <v/>
      </c>
      <c r="H51" s="20"/>
      <c r="I51" s="20"/>
      <c r="J51" s="20"/>
      <c r="K51" s="20" t="str">
        <f t="shared" si="1"/>
        <v/>
      </c>
    </row>
    <row r="52">
      <c r="A52" s="43"/>
      <c r="C52" s="17"/>
      <c r="D52" s="17"/>
      <c r="E52" s="17" t="str">
        <f>IF(D52="","",IFERROR(VLOOKUP(D52,COA!A:B,2,FALSE),"-"))</f>
        <v/>
      </c>
      <c r="F52" s="17"/>
      <c r="G52" s="17" t="str">
        <f>IF(F52="","",IFERROR(VLOOKUP(F52,COA!A:B,2,FALSE),"-"))</f>
        <v/>
      </c>
      <c r="H52" s="20"/>
      <c r="I52" s="20"/>
      <c r="J52" s="20"/>
      <c r="K52" s="20" t="str">
        <f t="shared" si="1"/>
        <v/>
      </c>
    </row>
    <row r="53">
      <c r="A53" s="43"/>
      <c r="C53" s="17"/>
      <c r="D53" s="17"/>
      <c r="E53" s="17" t="str">
        <f>IF(D53="","",IFERROR(VLOOKUP(D53,COA!A:B,2,FALSE),"-"))</f>
        <v/>
      </c>
      <c r="F53" s="17"/>
      <c r="G53" s="17" t="str">
        <f>IF(F53="","",IFERROR(VLOOKUP(F53,COA!A:B,2,FALSE),"-"))</f>
        <v/>
      </c>
      <c r="H53" s="20"/>
      <c r="I53" s="20"/>
      <c r="J53" s="20"/>
      <c r="K53" s="20" t="str">
        <f t="shared" si="1"/>
        <v/>
      </c>
    </row>
    <row r="54">
      <c r="A54" s="43"/>
      <c r="C54" s="17"/>
      <c r="D54" s="17"/>
      <c r="E54" s="17" t="str">
        <f>IF(D54="","",IFERROR(VLOOKUP(D54,COA!A:B,2,FALSE),"-"))</f>
        <v/>
      </c>
      <c r="F54" s="17"/>
      <c r="G54" s="17" t="str">
        <f>IF(F54="","",IFERROR(VLOOKUP(F54,COA!A:B,2,FALSE),"-"))</f>
        <v/>
      </c>
      <c r="H54" s="20"/>
      <c r="I54" s="20"/>
      <c r="J54" s="20"/>
      <c r="K54" s="20" t="str">
        <f t="shared" si="1"/>
        <v/>
      </c>
    </row>
    <row r="55">
      <c r="A55" s="43"/>
      <c r="C55" s="17"/>
      <c r="D55" s="17"/>
      <c r="E55" s="17" t="str">
        <f>IF(D55="","",IFERROR(VLOOKUP(D55,COA!A:B,2,FALSE),"-"))</f>
        <v/>
      </c>
      <c r="F55" s="17"/>
      <c r="G55" s="17" t="str">
        <f>IF(F55="","",IFERROR(VLOOKUP(F55,COA!A:B,2,FALSE),"-"))</f>
        <v/>
      </c>
      <c r="H55" s="20"/>
      <c r="I55" s="20"/>
      <c r="J55" s="20"/>
      <c r="K55" s="20" t="str">
        <f t="shared" si="1"/>
        <v/>
      </c>
    </row>
    <row r="56">
      <c r="A56" s="43"/>
      <c r="C56" s="17"/>
      <c r="D56" s="17"/>
      <c r="E56" s="17" t="str">
        <f>IF(D56="","",IFERROR(VLOOKUP(D56,COA!A:B,2,FALSE),"-"))</f>
        <v/>
      </c>
      <c r="F56" s="17"/>
      <c r="G56" s="17" t="str">
        <f>IF(F56="","",IFERROR(VLOOKUP(F56,COA!A:B,2,FALSE),"-"))</f>
        <v/>
      </c>
      <c r="H56" s="20"/>
      <c r="I56" s="20"/>
      <c r="J56" s="20"/>
      <c r="K56" s="20" t="str">
        <f t="shared" si="1"/>
        <v/>
      </c>
    </row>
    <row r="57">
      <c r="A57" s="43"/>
      <c r="C57" s="17"/>
      <c r="D57" s="17"/>
      <c r="E57" s="17" t="str">
        <f>IF(D57="","",IFERROR(VLOOKUP(D57,COA!A:B,2,FALSE),"-"))</f>
        <v/>
      </c>
      <c r="F57" s="17"/>
      <c r="G57" s="17" t="str">
        <f>IF(F57="","",IFERROR(VLOOKUP(F57,COA!A:B,2,FALSE),"-"))</f>
        <v/>
      </c>
      <c r="H57" s="20"/>
      <c r="I57" s="20"/>
      <c r="J57" s="20"/>
      <c r="K57" s="20" t="str">
        <f t="shared" si="1"/>
        <v/>
      </c>
    </row>
    <row r="58">
      <c r="A58" s="43"/>
      <c r="C58" s="17"/>
      <c r="D58" s="17"/>
      <c r="E58" s="17" t="str">
        <f>IF(D58="","",IFERROR(VLOOKUP(D58,COA!A:B,2,FALSE),"-"))</f>
        <v/>
      </c>
      <c r="F58" s="17"/>
      <c r="G58" s="17" t="str">
        <f>IF(F58="","",IFERROR(VLOOKUP(F58,COA!A:B,2,FALSE),"-"))</f>
        <v/>
      </c>
      <c r="H58" s="20"/>
      <c r="I58" s="20"/>
      <c r="J58" s="20"/>
      <c r="K58" s="20" t="str">
        <f t="shared" si="1"/>
        <v/>
      </c>
    </row>
    <row r="59">
      <c r="A59" s="43"/>
      <c r="C59" s="17"/>
      <c r="D59" s="17"/>
      <c r="E59" s="17" t="str">
        <f>IF(D59="","",IFERROR(VLOOKUP(D59,COA!A:B,2,FALSE),"-"))</f>
        <v/>
      </c>
      <c r="F59" s="17"/>
      <c r="G59" s="17" t="str">
        <f>IF(F59="","",IFERROR(VLOOKUP(F59,COA!A:B,2,FALSE),"-"))</f>
        <v/>
      </c>
      <c r="H59" s="20"/>
      <c r="I59" s="20"/>
      <c r="J59" s="20"/>
      <c r="K59" s="20" t="str">
        <f t="shared" si="1"/>
        <v/>
      </c>
    </row>
    <row r="60">
      <c r="A60" s="43"/>
      <c r="C60" s="17"/>
      <c r="D60" s="17"/>
      <c r="E60" s="17" t="str">
        <f>IF(D60="","",IFERROR(VLOOKUP(D60,COA!A:B,2,FALSE),"-"))</f>
        <v/>
      </c>
      <c r="F60" s="17"/>
      <c r="G60" s="17" t="str">
        <f>IF(F60="","",IFERROR(VLOOKUP(F60,COA!A:B,2,FALSE),"-"))</f>
        <v/>
      </c>
      <c r="H60" s="20"/>
      <c r="I60" s="20"/>
      <c r="J60" s="20"/>
      <c r="K60" s="20" t="str">
        <f t="shared" si="1"/>
        <v/>
      </c>
    </row>
    <row r="61">
      <c r="A61" s="43"/>
      <c r="C61" s="17"/>
      <c r="D61" s="17"/>
      <c r="E61" s="17" t="str">
        <f>IF(D61="","",IFERROR(VLOOKUP(D61,COA!A:B,2,FALSE),"-"))</f>
        <v/>
      </c>
      <c r="F61" s="17"/>
      <c r="G61" s="17" t="str">
        <f>IF(F61="","",IFERROR(VLOOKUP(F61,COA!A:B,2,FALSE),"-"))</f>
        <v/>
      </c>
      <c r="H61" s="20"/>
      <c r="I61" s="20"/>
      <c r="J61" s="20"/>
      <c r="K61" s="20" t="str">
        <f t="shared" si="1"/>
        <v/>
      </c>
    </row>
    <row r="62">
      <c r="A62" s="43"/>
      <c r="C62" s="17"/>
      <c r="D62" s="17"/>
      <c r="E62" s="17" t="str">
        <f>IF(D62="","",IFERROR(VLOOKUP(D62,COA!A:B,2,FALSE),"-"))</f>
        <v/>
      </c>
      <c r="F62" s="17"/>
      <c r="G62" s="17" t="str">
        <f>IF(F62="","",IFERROR(VLOOKUP(F62,COA!A:B,2,FALSE),"-"))</f>
        <v/>
      </c>
      <c r="H62" s="20"/>
      <c r="I62" s="20"/>
      <c r="J62" s="20"/>
      <c r="K62" s="20" t="str">
        <f t="shared" si="1"/>
        <v/>
      </c>
    </row>
    <row r="63">
      <c r="A63" s="43"/>
      <c r="C63" s="17"/>
      <c r="D63" s="17"/>
      <c r="E63" s="17" t="str">
        <f>IF(D63="","",IFERROR(VLOOKUP(D63,COA!A:B,2,FALSE),"-"))</f>
        <v/>
      </c>
      <c r="F63" s="17"/>
      <c r="G63" s="17" t="str">
        <f>IF(F63="","",IFERROR(VLOOKUP(F63,COA!A:B,2,FALSE),"-"))</f>
        <v/>
      </c>
      <c r="H63" s="20"/>
      <c r="I63" s="20"/>
      <c r="J63" s="20"/>
      <c r="K63" s="20" t="str">
        <f t="shared" si="1"/>
        <v/>
      </c>
    </row>
    <row r="64">
      <c r="A64" s="43"/>
      <c r="C64" s="17"/>
      <c r="D64" s="17"/>
      <c r="E64" s="17" t="str">
        <f>IF(D64="","",IFERROR(VLOOKUP(D64,COA!A:B,2,FALSE),"-"))</f>
        <v/>
      </c>
      <c r="F64" s="17"/>
      <c r="G64" s="17" t="str">
        <f>IF(F64="","",IFERROR(VLOOKUP(F64,COA!A:B,2,FALSE),"-"))</f>
        <v/>
      </c>
      <c r="H64" s="20"/>
      <c r="I64" s="20"/>
      <c r="J64" s="20"/>
      <c r="K64" s="20" t="str">
        <f t="shared" si="1"/>
        <v/>
      </c>
    </row>
    <row r="65">
      <c r="A65" s="43"/>
      <c r="C65" s="17"/>
      <c r="D65" s="17"/>
      <c r="E65" s="17" t="str">
        <f>IF(D65="","",IFERROR(VLOOKUP(D65,COA!A:B,2,FALSE),"-"))</f>
        <v/>
      </c>
      <c r="F65" s="17"/>
      <c r="G65" s="17" t="str">
        <f>IF(F65="","",IFERROR(VLOOKUP(F65,COA!A:B,2,FALSE),"-"))</f>
        <v/>
      </c>
      <c r="H65" s="20"/>
      <c r="I65" s="20"/>
      <c r="J65" s="20"/>
      <c r="K65" s="20" t="str">
        <f t="shared" si="1"/>
        <v/>
      </c>
    </row>
    <row r="66">
      <c r="A66" s="43"/>
      <c r="C66" s="17"/>
      <c r="D66" s="17"/>
      <c r="E66" s="17" t="str">
        <f>IF(D66="","",IFERROR(VLOOKUP(D66,COA!A:B,2,FALSE),"-"))</f>
        <v/>
      </c>
      <c r="F66" s="17"/>
      <c r="G66" s="17" t="str">
        <f>IF(F66="","",IFERROR(VLOOKUP(F66,COA!A:B,2,FALSE),"-"))</f>
        <v/>
      </c>
      <c r="H66" s="20"/>
      <c r="I66" s="20"/>
      <c r="J66" s="20"/>
      <c r="K66" s="20" t="str">
        <f t="shared" si="1"/>
        <v/>
      </c>
    </row>
    <row r="67">
      <c r="A67" s="43"/>
      <c r="C67" s="17"/>
      <c r="D67" s="17"/>
      <c r="E67" s="17" t="str">
        <f>IF(D67="","",IFERROR(VLOOKUP(D67,COA!A:B,2,FALSE),"-"))</f>
        <v/>
      </c>
      <c r="F67" s="17"/>
      <c r="G67" s="17" t="str">
        <f>IF(F67="","",IFERROR(VLOOKUP(F67,COA!A:B,2,FALSE),"-"))</f>
        <v/>
      </c>
      <c r="H67" s="20"/>
      <c r="I67" s="20"/>
      <c r="J67" s="20"/>
      <c r="K67" s="20" t="str">
        <f t="shared" si="1"/>
        <v/>
      </c>
    </row>
    <row r="68">
      <c r="A68" s="43"/>
      <c r="C68" s="17"/>
      <c r="D68" s="17"/>
      <c r="E68" s="17" t="str">
        <f>IF(D68="","",IFERROR(VLOOKUP(D68,COA!A:B,2,FALSE),"-"))</f>
        <v/>
      </c>
      <c r="F68" s="17"/>
      <c r="G68" s="17" t="str">
        <f>IF(F68="","",IFERROR(VLOOKUP(F68,COA!A:B,2,FALSE),"-"))</f>
        <v/>
      </c>
      <c r="H68" s="20"/>
      <c r="I68" s="20"/>
      <c r="J68" s="20"/>
      <c r="K68" s="20" t="str">
        <f t="shared" si="1"/>
        <v/>
      </c>
    </row>
    <row r="69">
      <c r="A69" s="43"/>
      <c r="C69" s="17"/>
      <c r="D69" s="17"/>
      <c r="E69" s="17" t="str">
        <f>IF(D69="","",IFERROR(VLOOKUP(D69,COA!A:B,2,FALSE),"-"))</f>
        <v/>
      </c>
      <c r="F69" s="17"/>
      <c r="G69" s="17" t="str">
        <f>IF(F69="","",IFERROR(VLOOKUP(F69,COA!A:B,2,FALSE),"-"))</f>
        <v/>
      </c>
      <c r="H69" s="20"/>
      <c r="I69" s="20"/>
      <c r="J69" s="20"/>
      <c r="K69" s="20" t="str">
        <f t="shared" si="1"/>
        <v/>
      </c>
    </row>
    <row r="70">
      <c r="A70" s="43"/>
      <c r="C70" s="17"/>
      <c r="D70" s="17"/>
      <c r="E70" s="17" t="str">
        <f>IF(D70="","",IFERROR(VLOOKUP(D70,COA!A:B,2,FALSE),"-"))</f>
        <v/>
      </c>
      <c r="F70" s="17"/>
      <c r="G70" s="17" t="str">
        <f>IF(F70="","",IFERROR(VLOOKUP(F70,COA!A:B,2,FALSE),"-"))</f>
        <v/>
      </c>
      <c r="H70" s="20"/>
      <c r="I70" s="20"/>
      <c r="J70" s="20"/>
      <c r="K70" s="20" t="str">
        <f t="shared" si="1"/>
        <v/>
      </c>
    </row>
    <row r="71">
      <c r="A71" s="43"/>
      <c r="C71" s="17"/>
      <c r="D71" s="17"/>
      <c r="E71" s="17" t="str">
        <f>IF(D71="","",IFERROR(VLOOKUP(D71,COA!A:B,2,FALSE),"-"))</f>
        <v/>
      </c>
      <c r="F71" s="17"/>
      <c r="G71" s="17" t="str">
        <f>IF(F71="","",IFERROR(VLOOKUP(F71,COA!A:B,2,FALSE),"-"))</f>
        <v/>
      </c>
      <c r="H71" s="20"/>
      <c r="I71" s="20"/>
      <c r="J71" s="20"/>
      <c r="K71" s="20" t="str">
        <f t="shared" si="1"/>
        <v/>
      </c>
    </row>
    <row r="72">
      <c r="A72" s="43"/>
      <c r="C72" s="17"/>
      <c r="D72" s="17"/>
      <c r="E72" s="17" t="str">
        <f>IF(D72="","",IFERROR(VLOOKUP(D72,COA!A:B,2,FALSE),"-"))</f>
        <v/>
      </c>
      <c r="F72" s="17"/>
      <c r="G72" s="17" t="str">
        <f>IF(F72="","",IFERROR(VLOOKUP(F72,COA!A:B,2,FALSE),"-"))</f>
        <v/>
      </c>
      <c r="H72" s="20"/>
      <c r="I72" s="20"/>
      <c r="J72" s="20"/>
      <c r="K72" s="20" t="str">
        <f t="shared" si="1"/>
        <v/>
      </c>
    </row>
    <row r="73">
      <c r="A73" s="43"/>
      <c r="C73" s="17"/>
      <c r="D73" s="17"/>
      <c r="E73" s="17" t="str">
        <f>IF(D73="","",IFERROR(VLOOKUP(D73,COA!A:B,2,FALSE),"-"))</f>
        <v/>
      </c>
      <c r="F73" s="17"/>
      <c r="G73" s="17" t="str">
        <f>IF(F73="","",IFERROR(VLOOKUP(F73,COA!A:B,2,FALSE),"-"))</f>
        <v/>
      </c>
      <c r="H73" s="20"/>
      <c r="I73" s="20"/>
      <c r="J73" s="20"/>
      <c r="K73" s="20" t="str">
        <f t="shared" si="1"/>
        <v/>
      </c>
    </row>
    <row r="74">
      <c r="A74" s="43"/>
      <c r="C74" s="17"/>
      <c r="D74" s="17"/>
      <c r="E74" s="17" t="str">
        <f>IF(D74="","",IFERROR(VLOOKUP(D74,COA!A:B,2,FALSE),"-"))</f>
        <v/>
      </c>
      <c r="F74" s="17"/>
      <c r="G74" s="17" t="str">
        <f>IF(F74="","",IFERROR(VLOOKUP(F74,COA!A:B,2,FALSE),"-"))</f>
        <v/>
      </c>
      <c r="H74" s="20"/>
      <c r="I74" s="20"/>
      <c r="J74" s="20"/>
      <c r="K74" s="20" t="str">
        <f t="shared" si="1"/>
        <v/>
      </c>
    </row>
    <row r="75">
      <c r="A75" s="43"/>
      <c r="C75" s="17"/>
      <c r="D75" s="17"/>
      <c r="E75" s="17" t="str">
        <f>IF(D75="","",IFERROR(VLOOKUP(D75,COA!A:B,2,FALSE),"-"))</f>
        <v/>
      </c>
      <c r="F75" s="17"/>
      <c r="G75" s="17" t="str">
        <f>IF(F75="","",IFERROR(VLOOKUP(F75,COA!A:B,2,FALSE),"-"))</f>
        <v/>
      </c>
      <c r="H75" s="20"/>
      <c r="I75" s="20"/>
      <c r="J75" s="20"/>
      <c r="K75" s="20" t="str">
        <f t="shared" si="1"/>
        <v/>
      </c>
    </row>
    <row r="76">
      <c r="A76" s="43"/>
      <c r="C76" s="17"/>
      <c r="D76" s="17"/>
      <c r="E76" s="17" t="str">
        <f>IF(D76="","",IFERROR(VLOOKUP(D76,COA!A:B,2,FALSE),"-"))</f>
        <v/>
      </c>
      <c r="F76" s="17"/>
      <c r="G76" s="17" t="str">
        <f>IF(F76="","",IFERROR(VLOOKUP(F76,COA!A:B,2,FALSE),"-"))</f>
        <v/>
      </c>
      <c r="H76" s="20"/>
      <c r="I76" s="20"/>
      <c r="J76" s="20"/>
      <c r="K76" s="20" t="str">
        <f t="shared" si="1"/>
        <v/>
      </c>
    </row>
    <row r="77">
      <c r="A77" s="43"/>
      <c r="C77" s="17"/>
      <c r="D77" s="17"/>
      <c r="E77" s="17" t="str">
        <f>IF(D77="","",IFERROR(VLOOKUP(D77,COA!A:B,2,FALSE),"-"))</f>
        <v/>
      </c>
      <c r="F77" s="17"/>
      <c r="G77" s="17" t="str">
        <f>IF(F77="","",IFERROR(VLOOKUP(F77,COA!A:B,2,FALSE),"-"))</f>
        <v/>
      </c>
      <c r="H77" s="20"/>
      <c r="I77" s="20"/>
      <c r="J77" s="20"/>
      <c r="K77" s="20" t="str">
        <f t="shared" si="1"/>
        <v/>
      </c>
    </row>
    <row r="78">
      <c r="A78" s="43"/>
      <c r="C78" s="17"/>
      <c r="D78" s="17"/>
      <c r="E78" s="17" t="str">
        <f>IF(D78="","",IFERROR(VLOOKUP(D78,COA!A:B,2,FALSE),"-"))</f>
        <v/>
      </c>
      <c r="F78" s="17"/>
      <c r="G78" s="17" t="str">
        <f>IF(F78="","",IFERROR(VLOOKUP(F78,COA!A:B,2,FALSE),"-"))</f>
        <v/>
      </c>
      <c r="H78" s="20"/>
      <c r="I78" s="20"/>
      <c r="J78" s="20"/>
      <c r="K78" s="20" t="str">
        <f t="shared" si="1"/>
        <v/>
      </c>
    </row>
    <row r="79">
      <c r="A79" s="43"/>
      <c r="C79" s="17"/>
      <c r="D79" s="17"/>
      <c r="E79" s="17" t="str">
        <f>IF(D79="","",IFERROR(VLOOKUP(D79,COA!A:B,2,FALSE),"-"))</f>
        <v/>
      </c>
      <c r="F79" s="17"/>
      <c r="G79" s="17" t="str">
        <f>IF(F79="","",IFERROR(VLOOKUP(F79,COA!A:B,2,FALSE),"-"))</f>
        <v/>
      </c>
      <c r="H79" s="20"/>
      <c r="I79" s="20"/>
      <c r="J79" s="20"/>
      <c r="K79" s="20" t="str">
        <f t="shared" si="1"/>
        <v/>
      </c>
    </row>
    <row r="80">
      <c r="A80" s="43"/>
      <c r="C80" s="17"/>
      <c r="D80" s="17"/>
      <c r="E80" s="17" t="str">
        <f>IF(D80="","",IFERROR(VLOOKUP(D80,COA!A:B,2,FALSE),"-"))</f>
        <v/>
      </c>
      <c r="F80" s="17"/>
      <c r="G80" s="17" t="str">
        <f>IF(F80="","",IFERROR(VLOOKUP(F80,COA!A:B,2,FALSE),"-"))</f>
        <v/>
      </c>
      <c r="H80" s="20"/>
      <c r="I80" s="20"/>
      <c r="J80" s="20"/>
      <c r="K80" s="20" t="str">
        <f t="shared" si="1"/>
        <v/>
      </c>
    </row>
    <row r="81">
      <c r="A81" s="43"/>
      <c r="C81" s="17"/>
      <c r="D81" s="17"/>
      <c r="E81" s="17" t="str">
        <f>IF(D81="","",IFERROR(VLOOKUP(D81,COA!A:B,2,FALSE),"-"))</f>
        <v/>
      </c>
      <c r="F81" s="17"/>
      <c r="G81" s="17" t="str">
        <f>IF(F81="","",IFERROR(VLOOKUP(F81,COA!A:B,2,FALSE),"-"))</f>
        <v/>
      </c>
      <c r="H81" s="20"/>
      <c r="I81" s="20"/>
      <c r="J81" s="20"/>
      <c r="K81" s="20" t="str">
        <f t="shared" si="1"/>
        <v/>
      </c>
    </row>
    <row r="82">
      <c r="A82" s="43"/>
      <c r="C82" s="17"/>
      <c r="D82" s="17"/>
      <c r="E82" s="17" t="str">
        <f>IF(D82="","",IFERROR(VLOOKUP(D82,COA!A:B,2,FALSE),"-"))</f>
        <v/>
      </c>
      <c r="F82" s="17"/>
      <c r="G82" s="17" t="str">
        <f>IF(F82="","",IFERROR(VLOOKUP(F82,COA!A:B,2,FALSE),"-"))</f>
        <v/>
      </c>
      <c r="H82" s="20"/>
      <c r="I82" s="20"/>
      <c r="J82" s="20"/>
      <c r="K82" s="20" t="str">
        <f t="shared" si="1"/>
        <v/>
      </c>
    </row>
    <row r="83">
      <c r="A83" s="43"/>
      <c r="C83" s="17"/>
      <c r="D83" s="17"/>
      <c r="E83" s="17" t="str">
        <f>IF(D83="","",IFERROR(VLOOKUP(D83,COA!A:B,2,FALSE),"-"))</f>
        <v/>
      </c>
      <c r="F83" s="17"/>
      <c r="G83" s="17" t="str">
        <f>IF(F83="","",IFERROR(VLOOKUP(F83,COA!A:B,2,FALSE),"-"))</f>
        <v/>
      </c>
      <c r="H83" s="20"/>
      <c r="I83" s="20"/>
      <c r="J83" s="20"/>
      <c r="K83" s="20" t="str">
        <f t="shared" si="1"/>
        <v/>
      </c>
    </row>
    <row r="84">
      <c r="A84" s="43"/>
      <c r="C84" s="17"/>
      <c r="D84" s="17"/>
      <c r="E84" s="17" t="str">
        <f>IF(D84="","",IFERROR(VLOOKUP(D84,COA!A:B,2,FALSE),"-"))</f>
        <v/>
      </c>
      <c r="F84" s="17"/>
      <c r="G84" s="17" t="str">
        <f>IF(F84="","",IFERROR(VLOOKUP(F84,COA!A:B,2,FALSE),"-"))</f>
        <v/>
      </c>
      <c r="H84" s="20"/>
      <c r="I84" s="20"/>
      <c r="J84" s="20"/>
      <c r="K84" s="20" t="str">
        <f t="shared" si="1"/>
        <v/>
      </c>
    </row>
    <row r="85">
      <c r="A85" s="43"/>
      <c r="C85" s="17"/>
      <c r="D85" s="17"/>
      <c r="E85" s="17" t="str">
        <f>IF(D85="","",IFERROR(VLOOKUP(D85,COA!A:B,2,FALSE),"-"))</f>
        <v/>
      </c>
      <c r="F85" s="17"/>
      <c r="G85" s="17" t="str">
        <f>IF(F85="","",IFERROR(VLOOKUP(F85,COA!A:B,2,FALSE),"-"))</f>
        <v/>
      </c>
      <c r="H85" s="20"/>
      <c r="I85" s="20"/>
      <c r="J85" s="20"/>
      <c r="K85" s="20" t="str">
        <f t="shared" si="1"/>
        <v/>
      </c>
    </row>
    <row r="86">
      <c r="A86" s="43"/>
      <c r="C86" s="17"/>
      <c r="D86" s="17"/>
      <c r="E86" s="17" t="str">
        <f>IF(D86="","",IFERROR(VLOOKUP(D86,COA!A:B,2,FALSE),"-"))</f>
        <v/>
      </c>
      <c r="F86" s="17"/>
      <c r="G86" s="17" t="str">
        <f>IF(F86="","",IFERROR(VLOOKUP(F86,COA!A:B,2,FALSE),"-"))</f>
        <v/>
      </c>
      <c r="H86" s="20"/>
      <c r="I86" s="20"/>
      <c r="J86" s="20"/>
      <c r="K86" s="20" t="str">
        <f t="shared" si="1"/>
        <v/>
      </c>
    </row>
    <row r="87">
      <c r="A87" s="43"/>
      <c r="C87" s="17"/>
      <c r="D87" s="17"/>
      <c r="E87" s="17" t="str">
        <f>IF(D87="","",IFERROR(VLOOKUP(D87,COA!A:B,2,FALSE),"-"))</f>
        <v/>
      </c>
      <c r="F87" s="17"/>
      <c r="G87" s="17" t="str">
        <f>IF(F87="","",IFERROR(VLOOKUP(F87,COA!A:B,2,FALSE),"-"))</f>
        <v/>
      </c>
      <c r="H87" s="20"/>
      <c r="I87" s="20"/>
      <c r="J87" s="20"/>
      <c r="K87" s="20" t="str">
        <f t="shared" si="1"/>
        <v/>
      </c>
    </row>
    <row r="88">
      <c r="A88" s="43"/>
      <c r="C88" s="17"/>
      <c r="D88" s="17"/>
      <c r="E88" s="17" t="str">
        <f>IF(D88="","",IFERROR(VLOOKUP(D88,COA!A:B,2,FALSE),"-"))</f>
        <v/>
      </c>
      <c r="F88" s="17"/>
      <c r="G88" s="17" t="str">
        <f>IF(F88="","",IFERROR(VLOOKUP(F88,COA!A:B,2,FALSE),"-"))</f>
        <v/>
      </c>
      <c r="H88" s="20"/>
      <c r="I88" s="20"/>
      <c r="J88" s="20"/>
      <c r="K88" s="20" t="str">
        <f t="shared" si="1"/>
        <v/>
      </c>
    </row>
    <row r="89">
      <c r="A89" s="43"/>
      <c r="C89" s="17"/>
      <c r="D89" s="17"/>
      <c r="E89" s="17" t="str">
        <f>IF(D89="","",IFERROR(VLOOKUP(D89,COA!A:B,2,FALSE),"-"))</f>
        <v/>
      </c>
      <c r="F89" s="17"/>
      <c r="G89" s="17" t="str">
        <f>IF(F89="","",IFERROR(VLOOKUP(F89,COA!A:B,2,FALSE),"-"))</f>
        <v/>
      </c>
      <c r="H89" s="20"/>
      <c r="I89" s="20"/>
      <c r="J89" s="20"/>
      <c r="K89" s="20" t="str">
        <f t="shared" si="1"/>
        <v/>
      </c>
    </row>
    <row r="90">
      <c r="A90" s="43"/>
      <c r="C90" s="17"/>
      <c r="D90" s="17"/>
      <c r="E90" s="17" t="str">
        <f>IF(D90="","",IFERROR(VLOOKUP(D90,COA!A:B,2,FALSE),"-"))</f>
        <v/>
      </c>
      <c r="F90" s="17"/>
      <c r="G90" s="17" t="str">
        <f>IF(F90="","",IFERROR(VLOOKUP(F90,COA!A:B,2,FALSE),"-"))</f>
        <v/>
      </c>
      <c r="H90" s="20"/>
      <c r="I90" s="20"/>
      <c r="J90" s="20"/>
      <c r="K90" s="20" t="str">
        <f t="shared" si="1"/>
        <v/>
      </c>
    </row>
    <row r="91">
      <c r="A91" s="43"/>
      <c r="C91" s="17"/>
      <c r="D91" s="17"/>
      <c r="E91" s="17" t="str">
        <f>IF(D91="","",IFERROR(VLOOKUP(D91,COA!A:B,2,FALSE),"-"))</f>
        <v/>
      </c>
      <c r="F91" s="17"/>
      <c r="G91" s="17" t="str">
        <f>IF(F91="","",IFERROR(VLOOKUP(F91,COA!A:B,2,FALSE),"-"))</f>
        <v/>
      </c>
      <c r="H91" s="20"/>
      <c r="I91" s="20"/>
      <c r="J91" s="20"/>
      <c r="K91" s="20" t="str">
        <f t="shared" si="1"/>
        <v/>
      </c>
    </row>
    <row r="92">
      <c r="A92" s="43"/>
      <c r="C92" s="17"/>
      <c r="D92" s="17"/>
      <c r="E92" s="17" t="str">
        <f>IF(D92="","",IFERROR(VLOOKUP(D92,COA!A:B,2,FALSE),"-"))</f>
        <v/>
      </c>
      <c r="F92" s="17"/>
      <c r="G92" s="17" t="str">
        <f>IF(F92="","",IFERROR(VLOOKUP(F92,COA!A:B,2,FALSE),"-"))</f>
        <v/>
      </c>
      <c r="H92" s="20"/>
      <c r="I92" s="20"/>
      <c r="J92" s="20"/>
      <c r="K92" s="20" t="str">
        <f t="shared" si="1"/>
        <v/>
      </c>
    </row>
    <row r="93">
      <c r="A93" s="43"/>
      <c r="C93" s="17"/>
      <c r="D93" s="17"/>
      <c r="E93" s="17" t="str">
        <f>IF(D93="","",IFERROR(VLOOKUP(D93,COA!A:B,2,FALSE),"-"))</f>
        <v/>
      </c>
      <c r="F93" s="17"/>
      <c r="G93" s="17" t="str">
        <f>IF(F93="","",IFERROR(VLOOKUP(F93,COA!A:B,2,FALSE),"-"))</f>
        <v/>
      </c>
      <c r="H93" s="20"/>
      <c r="I93" s="20"/>
      <c r="J93" s="20"/>
      <c r="K93" s="20" t="str">
        <f t="shared" si="1"/>
        <v/>
      </c>
    </row>
    <row r="94">
      <c r="A94" s="43"/>
      <c r="C94" s="17"/>
      <c r="D94" s="17"/>
      <c r="E94" s="17" t="str">
        <f>IF(D94="","",IFERROR(VLOOKUP(D94,COA!A:B,2,FALSE),"-"))</f>
        <v/>
      </c>
      <c r="F94" s="17"/>
      <c r="G94" s="17" t="str">
        <f>IF(F94="","",IFERROR(VLOOKUP(F94,COA!A:B,2,FALSE),"-"))</f>
        <v/>
      </c>
      <c r="H94" s="20"/>
      <c r="I94" s="20"/>
      <c r="J94" s="20"/>
      <c r="K94" s="20" t="str">
        <f t="shared" si="1"/>
        <v/>
      </c>
    </row>
    <row r="95">
      <c r="A95" s="43"/>
      <c r="C95" s="17"/>
      <c r="D95" s="17"/>
      <c r="E95" s="17" t="str">
        <f>IF(D95="","",IFERROR(VLOOKUP(D95,COA!A:B,2,FALSE),"-"))</f>
        <v/>
      </c>
      <c r="F95" s="17"/>
      <c r="G95" s="17" t="str">
        <f>IF(F95="","",IFERROR(VLOOKUP(F95,COA!A:B,2,FALSE),"-"))</f>
        <v/>
      </c>
      <c r="H95" s="20"/>
      <c r="I95" s="20"/>
      <c r="J95" s="20"/>
      <c r="K95" s="20" t="str">
        <f t="shared" si="1"/>
        <v/>
      </c>
    </row>
    <row r="96">
      <c r="A96" s="43"/>
      <c r="C96" s="17"/>
      <c r="D96" s="17"/>
      <c r="E96" s="17" t="str">
        <f>IF(D96="","",IFERROR(VLOOKUP(D96,COA!A:B,2,FALSE),"-"))</f>
        <v/>
      </c>
      <c r="F96" s="17"/>
      <c r="G96" s="17" t="str">
        <f>IF(F96="","",IFERROR(VLOOKUP(F96,COA!A:B,2,FALSE),"-"))</f>
        <v/>
      </c>
      <c r="H96" s="20"/>
      <c r="I96" s="20"/>
      <c r="J96" s="20"/>
      <c r="K96" s="20" t="str">
        <f t="shared" si="1"/>
        <v/>
      </c>
    </row>
    <row r="97">
      <c r="A97" s="43"/>
      <c r="C97" s="17"/>
      <c r="D97" s="17"/>
      <c r="E97" s="17" t="str">
        <f>IF(D97="","",IFERROR(VLOOKUP(D97,COA!A:B,2,FALSE),"-"))</f>
        <v/>
      </c>
      <c r="F97" s="17"/>
      <c r="G97" s="17" t="str">
        <f>IF(F97="","",IFERROR(VLOOKUP(F97,COA!A:B,2,FALSE),"-"))</f>
        <v/>
      </c>
      <c r="H97" s="20"/>
      <c r="I97" s="20"/>
      <c r="J97" s="20"/>
      <c r="K97" s="20" t="str">
        <f t="shared" si="1"/>
        <v/>
      </c>
    </row>
    <row r="98">
      <c r="A98" s="43"/>
      <c r="C98" s="17"/>
      <c r="D98" s="17"/>
      <c r="E98" s="17" t="str">
        <f>IF(D98="","",IFERROR(VLOOKUP(D98,COA!A:B,2,FALSE),"-"))</f>
        <v/>
      </c>
      <c r="F98" s="17"/>
      <c r="G98" s="17" t="str">
        <f>IF(F98="","",IFERROR(VLOOKUP(F98,COA!A:B,2,FALSE),"-"))</f>
        <v/>
      </c>
      <c r="H98" s="20"/>
      <c r="I98" s="20"/>
      <c r="J98" s="20"/>
      <c r="K98" s="20" t="str">
        <f t="shared" si="1"/>
        <v/>
      </c>
    </row>
    <row r="99">
      <c r="A99" s="43"/>
      <c r="C99" s="17"/>
      <c r="D99" s="17"/>
      <c r="E99" s="17" t="str">
        <f>IF(D99="","",IFERROR(VLOOKUP(D99,COA!A:B,2,FALSE),"-"))</f>
        <v/>
      </c>
      <c r="F99" s="17"/>
      <c r="G99" s="17" t="str">
        <f>IF(F99="","",IFERROR(VLOOKUP(F99,COA!A:B,2,FALSE),"-"))</f>
        <v/>
      </c>
      <c r="H99" s="20"/>
      <c r="I99" s="20"/>
      <c r="J99" s="20"/>
      <c r="K99" s="20" t="str">
        <f t="shared" si="1"/>
        <v/>
      </c>
    </row>
    <row r="100">
      <c r="A100" s="43"/>
      <c r="C100" s="17"/>
      <c r="D100" s="17"/>
      <c r="E100" s="17" t="str">
        <f>IF(D100="","",IFERROR(VLOOKUP(D100,COA!A:B,2,FALSE),"-"))</f>
        <v/>
      </c>
      <c r="F100" s="17"/>
      <c r="G100" s="17" t="str">
        <f>IF(F100="","",IFERROR(VLOOKUP(F100,COA!A:B,2,FALSE),"-"))</f>
        <v/>
      </c>
      <c r="H100" s="20"/>
      <c r="I100" s="20"/>
      <c r="J100" s="20"/>
      <c r="K100" s="20" t="str">
        <f t="shared" si="1"/>
        <v/>
      </c>
    </row>
    <row r="101">
      <c r="A101" s="43"/>
      <c r="C101" s="17"/>
      <c r="D101" s="17"/>
      <c r="E101" s="17" t="str">
        <f>IF(D101="","",IFERROR(VLOOKUP(D101,COA!A:B,2,FALSE),"-"))</f>
        <v/>
      </c>
      <c r="F101" s="17"/>
      <c r="G101" s="17" t="str">
        <f>IF(F101="","",IFERROR(VLOOKUP(F101,COA!A:B,2,FALSE),"-"))</f>
        <v/>
      </c>
      <c r="H101" s="20"/>
      <c r="I101" s="20"/>
      <c r="J101" s="20"/>
      <c r="K101" s="20" t="str">
        <f t="shared" si="1"/>
        <v/>
      </c>
    </row>
    <row r="102">
      <c r="A102" s="43"/>
      <c r="C102" s="17"/>
      <c r="D102" s="17"/>
      <c r="E102" s="17" t="str">
        <f>IF(D102="","",IFERROR(VLOOKUP(D102,COA!A:B,2,FALSE),"-"))</f>
        <v/>
      </c>
      <c r="F102" s="17"/>
      <c r="G102" s="17" t="str">
        <f>IF(F102="","",IFERROR(VLOOKUP(F102,COA!A:B,2,FALSE),"-"))</f>
        <v/>
      </c>
      <c r="H102" s="20"/>
      <c r="I102" s="20"/>
      <c r="J102" s="20"/>
      <c r="K102" s="20" t="str">
        <f t="shared" si="1"/>
        <v/>
      </c>
    </row>
    <row r="103">
      <c r="A103" s="43"/>
      <c r="C103" s="17"/>
      <c r="D103" s="17"/>
      <c r="E103" s="17" t="str">
        <f>IF(D103="","",IFERROR(VLOOKUP(D103,COA!A:B,2,FALSE),"-"))</f>
        <v/>
      </c>
      <c r="F103" s="17"/>
      <c r="G103" s="17" t="str">
        <f>IF(F103="","",IFERROR(VLOOKUP(F103,COA!A:B,2,FALSE),"-"))</f>
        <v/>
      </c>
      <c r="H103" s="20"/>
      <c r="I103" s="20"/>
      <c r="J103" s="20"/>
      <c r="K103" s="20" t="str">
        <f t="shared" si="1"/>
        <v/>
      </c>
    </row>
    <row r="104">
      <c r="A104" s="43"/>
      <c r="C104" s="17"/>
      <c r="D104" s="17"/>
      <c r="E104" s="17" t="str">
        <f>IF(D104="","",IFERROR(VLOOKUP(D104,COA!A:B,2,FALSE),"-"))</f>
        <v/>
      </c>
      <c r="F104" s="17"/>
      <c r="G104" s="17" t="str">
        <f>IF(F104="","",IFERROR(VLOOKUP(F104,COA!A:B,2,FALSE),"-"))</f>
        <v/>
      </c>
      <c r="H104" s="20"/>
      <c r="I104" s="20"/>
      <c r="J104" s="20"/>
      <c r="K104" s="20" t="str">
        <f t="shared" si="1"/>
        <v/>
      </c>
    </row>
    <row r="105">
      <c r="A105" s="43"/>
      <c r="C105" s="17"/>
      <c r="D105" s="17"/>
      <c r="E105" s="17" t="str">
        <f>IF(D105="","",IFERROR(VLOOKUP(D105,COA!A:B,2,FALSE),"-"))</f>
        <v/>
      </c>
      <c r="F105" s="17"/>
      <c r="G105" s="17" t="str">
        <f>IF(F105="","",IFERROR(VLOOKUP(F105,COA!A:B,2,FALSE),"-"))</f>
        <v/>
      </c>
      <c r="H105" s="20"/>
      <c r="I105" s="20"/>
      <c r="J105" s="20"/>
      <c r="K105" s="20" t="str">
        <f t="shared" si="1"/>
        <v/>
      </c>
    </row>
    <row r="106">
      <c r="A106" s="43"/>
      <c r="C106" s="17"/>
      <c r="D106" s="17"/>
      <c r="E106" s="17" t="str">
        <f>IF(D106="","",IFERROR(VLOOKUP(D106,COA!A:B,2,FALSE),"-"))</f>
        <v/>
      </c>
      <c r="F106" s="17"/>
      <c r="G106" s="17" t="str">
        <f>IF(F106="","",IFERROR(VLOOKUP(F106,COA!A:B,2,FALSE),"-"))</f>
        <v/>
      </c>
      <c r="H106" s="20"/>
      <c r="I106" s="20"/>
      <c r="J106" s="20"/>
      <c r="K106" s="20" t="str">
        <f t="shared" si="1"/>
        <v/>
      </c>
    </row>
    <row r="107">
      <c r="A107" s="43"/>
      <c r="C107" s="17"/>
      <c r="D107" s="17"/>
      <c r="E107" s="17" t="str">
        <f>IF(D107="","",IFERROR(VLOOKUP(D107,COA!A:B,2,FALSE),"-"))</f>
        <v/>
      </c>
      <c r="F107" s="17"/>
      <c r="G107" s="17" t="str">
        <f>IF(F107="","",IFERROR(VLOOKUP(F107,COA!A:B,2,FALSE),"-"))</f>
        <v/>
      </c>
      <c r="H107" s="20"/>
      <c r="I107" s="20"/>
      <c r="J107" s="20"/>
      <c r="K107" s="20" t="str">
        <f t="shared" si="1"/>
        <v/>
      </c>
    </row>
    <row r="108">
      <c r="A108" s="43"/>
      <c r="C108" s="17"/>
      <c r="D108" s="17"/>
      <c r="E108" s="17" t="str">
        <f>IF(D108="","",IFERROR(VLOOKUP(D108,COA!A:B,2,FALSE),"-"))</f>
        <v/>
      </c>
      <c r="F108" s="17"/>
      <c r="G108" s="17" t="str">
        <f>IF(F108="","",IFERROR(VLOOKUP(F108,COA!A:B,2,FALSE),"-"))</f>
        <v/>
      </c>
      <c r="H108" s="20"/>
      <c r="I108" s="20"/>
      <c r="J108" s="20"/>
      <c r="K108" s="20" t="str">
        <f t="shared" si="1"/>
        <v/>
      </c>
    </row>
    <row r="109">
      <c r="A109" s="43"/>
      <c r="C109" s="17"/>
      <c r="D109" s="17"/>
      <c r="E109" s="17" t="str">
        <f>IF(D109="","",IFERROR(VLOOKUP(D109,COA!A:B,2,FALSE),"-"))</f>
        <v/>
      </c>
      <c r="F109" s="17"/>
      <c r="G109" s="17" t="str">
        <f>IF(F109="","",IFERROR(VLOOKUP(F109,COA!A:B,2,FALSE),"-"))</f>
        <v/>
      </c>
      <c r="H109" s="20"/>
      <c r="I109" s="20"/>
      <c r="J109" s="20"/>
      <c r="K109" s="20" t="str">
        <f t="shared" si="1"/>
        <v/>
      </c>
    </row>
    <row r="110">
      <c r="A110" s="43"/>
      <c r="C110" s="17"/>
      <c r="D110" s="17"/>
      <c r="E110" s="17" t="str">
        <f>IF(D110="","",IFERROR(VLOOKUP(D110,COA!A:B,2,FALSE),"-"))</f>
        <v/>
      </c>
      <c r="F110" s="17"/>
      <c r="G110" s="17" t="str">
        <f>IF(F110="","",IFERROR(VLOOKUP(F110,COA!A:B,2,FALSE),"-"))</f>
        <v/>
      </c>
      <c r="H110" s="20"/>
      <c r="I110" s="20"/>
      <c r="J110" s="20"/>
      <c r="K110" s="20" t="str">
        <f t="shared" si="1"/>
        <v/>
      </c>
    </row>
    <row r="111">
      <c r="A111" s="43"/>
      <c r="C111" s="17"/>
      <c r="D111" s="17"/>
      <c r="E111" s="17" t="str">
        <f>IF(D111="","",IFERROR(VLOOKUP(D111,COA!A:B,2,FALSE),"-"))</f>
        <v/>
      </c>
      <c r="F111" s="17"/>
      <c r="G111" s="17" t="str">
        <f>IF(F111="","",IFERROR(VLOOKUP(F111,COA!A:B,2,FALSE),"-"))</f>
        <v/>
      </c>
      <c r="H111" s="20"/>
      <c r="I111" s="20"/>
      <c r="J111" s="20"/>
      <c r="K111" s="20" t="str">
        <f t="shared" si="1"/>
        <v/>
      </c>
    </row>
    <row r="112">
      <c r="A112" s="43"/>
      <c r="C112" s="17"/>
      <c r="D112" s="17"/>
      <c r="E112" s="17" t="str">
        <f>IF(D112="","",IFERROR(VLOOKUP(D112,COA!A:B,2,FALSE),"-"))</f>
        <v/>
      </c>
      <c r="F112" s="17"/>
      <c r="G112" s="17" t="str">
        <f>IF(F112="","",IFERROR(VLOOKUP(F112,COA!A:B,2,FALSE),"-"))</f>
        <v/>
      </c>
      <c r="H112" s="20"/>
      <c r="I112" s="20"/>
      <c r="J112" s="20"/>
      <c r="K112" s="20" t="str">
        <f t="shared" si="1"/>
        <v/>
      </c>
    </row>
    <row r="113">
      <c r="A113" s="43"/>
      <c r="C113" s="17"/>
      <c r="D113" s="17"/>
      <c r="E113" s="17" t="str">
        <f>IF(D113="","",IFERROR(VLOOKUP(D113,COA!A:B,2,FALSE),"-"))</f>
        <v/>
      </c>
      <c r="F113" s="17"/>
      <c r="G113" s="17" t="str">
        <f>IF(F113="","",IFERROR(VLOOKUP(F113,COA!A:B,2,FALSE),"-"))</f>
        <v/>
      </c>
      <c r="H113" s="20"/>
      <c r="I113" s="20"/>
      <c r="J113" s="20"/>
      <c r="K113" s="20" t="str">
        <f t="shared" si="1"/>
        <v/>
      </c>
    </row>
    <row r="114">
      <c r="A114" s="43"/>
      <c r="C114" s="17"/>
      <c r="D114" s="17"/>
      <c r="E114" s="17" t="str">
        <f>IF(D114="","",IFERROR(VLOOKUP(D114,COA!A:B,2,FALSE),"-"))</f>
        <v/>
      </c>
      <c r="F114" s="17"/>
      <c r="G114" s="17" t="str">
        <f>IF(F114="","",IFERROR(VLOOKUP(F114,COA!A:B,2,FALSE),"-"))</f>
        <v/>
      </c>
      <c r="H114" s="20"/>
      <c r="I114" s="20"/>
      <c r="J114" s="20"/>
      <c r="K114" s="20" t="str">
        <f t="shared" si="1"/>
        <v/>
      </c>
    </row>
    <row r="115">
      <c r="A115" s="43"/>
      <c r="C115" s="17"/>
      <c r="D115" s="17"/>
      <c r="E115" s="17" t="str">
        <f>IF(D115="","",IFERROR(VLOOKUP(D115,COA!A:B,2,FALSE),"-"))</f>
        <v/>
      </c>
      <c r="F115" s="17"/>
      <c r="G115" s="17" t="str">
        <f>IF(F115="","",IFERROR(VLOOKUP(F115,COA!A:B,2,FALSE),"-"))</f>
        <v/>
      </c>
      <c r="H115" s="20"/>
      <c r="I115" s="20"/>
      <c r="J115" s="20"/>
      <c r="K115" s="20" t="str">
        <f t="shared" si="1"/>
        <v/>
      </c>
    </row>
    <row r="116">
      <c r="A116" s="43"/>
      <c r="C116" s="17"/>
      <c r="D116" s="17"/>
      <c r="E116" s="17" t="str">
        <f>IF(D116="","",IFERROR(VLOOKUP(D116,COA!A:B,2,FALSE),"-"))</f>
        <v/>
      </c>
      <c r="F116" s="17"/>
      <c r="G116" s="17" t="str">
        <f>IF(F116="","",IFERROR(VLOOKUP(F116,COA!A:B,2,FALSE),"-"))</f>
        <v/>
      </c>
      <c r="H116" s="20"/>
      <c r="I116" s="20"/>
      <c r="J116" s="20"/>
      <c r="K116" s="20" t="str">
        <f t="shared" si="1"/>
        <v/>
      </c>
    </row>
    <row r="117">
      <c r="A117" s="43"/>
      <c r="C117" s="17"/>
      <c r="D117" s="17"/>
      <c r="E117" s="17" t="str">
        <f>IF(D117="","",IFERROR(VLOOKUP(D117,COA!A:B,2,FALSE),"-"))</f>
        <v/>
      </c>
      <c r="F117" s="17"/>
      <c r="G117" s="17" t="str">
        <f>IF(F117="","",IFERROR(VLOOKUP(F117,COA!A:B,2,FALSE),"-"))</f>
        <v/>
      </c>
      <c r="H117" s="20"/>
      <c r="I117" s="20"/>
      <c r="J117" s="20"/>
      <c r="K117" s="20" t="str">
        <f t="shared" si="1"/>
        <v/>
      </c>
    </row>
    <row r="118">
      <c r="A118" s="43"/>
      <c r="C118" s="17"/>
      <c r="D118" s="17"/>
      <c r="E118" s="17" t="str">
        <f>IF(D118="","",IFERROR(VLOOKUP(D118,COA!A:B,2,FALSE),"-"))</f>
        <v/>
      </c>
      <c r="F118" s="17"/>
      <c r="G118" s="17" t="str">
        <f>IF(F118="","",IFERROR(VLOOKUP(F118,COA!A:B,2,FALSE),"-"))</f>
        <v/>
      </c>
      <c r="H118" s="20"/>
      <c r="I118" s="20"/>
      <c r="J118" s="20"/>
      <c r="K118" s="20" t="str">
        <f t="shared" si="1"/>
        <v/>
      </c>
    </row>
    <row r="119">
      <c r="A119" s="43"/>
      <c r="C119" s="17"/>
      <c r="D119" s="17"/>
      <c r="E119" s="17" t="str">
        <f>IF(D119="","",IFERROR(VLOOKUP(D119,COA!A:B,2,FALSE),"-"))</f>
        <v/>
      </c>
      <c r="F119" s="17"/>
      <c r="G119" s="17" t="str">
        <f>IF(F119="","",IFERROR(VLOOKUP(F119,COA!A:B,2,FALSE),"-"))</f>
        <v/>
      </c>
      <c r="H119" s="20"/>
      <c r="I119" s="20"/>
      <c r="J119" s="20"/>
      <c r="K119" s="20" t="str">
        <f t="shared" si="1"/>
        <v/>
      </c>
    </row>
    <row r="120">
      <c r="A120" s="43"/>
      <c r="C120" s="17"/>
      <c r="D120" s="17"/>
      <c r="E120" s="17" t="str">
        <f>IF(D120="","",IFERROR(VLOOKUP(D120,COA!A:B,2,FALSE),"-"))</f>
        <v/>
      </c>
      <c r="F120" s="17"/>
      <c r="G120" s="17" t="str">
        <f>IF(F120="","",IFERROR(VLOOKUP(F120,COA!A:B,2,FALSE),"-"))</f>
        <v/>
      </c>
      <c r="H120" s="20"/>
      <c r="I120" s="20"/>
      <c r="J120" s="20"/>
      <c r="K120" s="20" t="str">
        <f t="shared" si="1"/>
        <v/>
      </c>
    </row>
    <row r="121">
      <c r="A121" s="43"/>
      <c r="C121" s="17"/>
      <c r="D121" s="17"/>
      <c r="E121" s="17" t="str">
        <f>IF(D121="","",IFERROR(VLOOKUP(D121,COA!A:B,2,FALSE),"-"))</f>
        <v/>
      </c>
      <c r="F121" s="17"/>
      <c r="G121" s="17" t="str">
        <f>IF(F121="","",IFERROR(VLOOKUP(F121,COA!A:B,2,FALSE),"-"))</f>
        <v/>
      </c>
      <c r="H121" s="20"/>
      <c r="I121" s="20"/>
      <c r="J121" s="20"/>
      <c r="K121" s="20" t="str">
        <f t="shared" si="1"/>
        <v/>
      </c>
    </row>
    <row r="122">
      <c r="A122" s="43"/>
      <c r="C122" s="17"/>
      <c r="D122" s="17"/>
      <c r="E122" s="17" t="str">
        <f>IF(D122="","",IFERROR(VLOOKUP(D122,COA!A:B,2,FALSE),"-"))</f>
        <v/>
      </c>
      <c r="F122" s="17"/>
      <c r="G122" s="17" t="str">
        <f>IF(F122="","",IFERROR(VLOOKUP(F122,COA!A:B,2,FALSE),"-"))</f>
        <v/>
      </c>
      <c r="H122" s="20"/>
      <c r="I122" s="20"/>
      <c r="J122" s="20"/>
      <c r="K122" s="20" t="str">
        <f t="shared" si="1"/>
        <v/>
      </c>
    </row>
    <row r="123">
      <c r="A123" s="43"/>
      <c r="C123" s="17"/>
      <c r="D123" s="17"/>
      <c r="E123" s="17" t="str">
        <f>IF(D123="","",IFERROR(VLOOKUP(D123,COA!A:B,2,FALSE),"-"))</f>
        <v/>
      </c>
      <c r="F123" s="17"/>
      <c r="G123" s="17" t="str">
        <f>IF(F123="","",IFERROR(VLOOKUP(F123,COA!A:B,2,FALSE),"-"))</f>
        <v/>
      </c>
      <c r="H123" s="20"/>
      <c r="I123" s="20"/>
      <c r="J123" s="20"/>
      <c r="K123" s="20" t="str">
        <f t="shared" si="1"/>
        <v/>
      </c>
    </row>
    <row r="124">
      <c r="A124" s="43"/>
      <c r="C124" s="17"/>
      <c r="D124" s="17"/>
      <c r="E124" s="17" t="str">
        <f>IF(D124="","",IFERROR(VLOOKUP(D124,COA!A:B,2,FALSE),"-"))</f>
        <v/>
      </c>
      <c r="F124" s="17"/>
      <c r="G124" s="17" t="str">
        <f>IF(F124="","",IFERROR(VLOOKUP(F124,COA!A:B,2,FALSE),"-"))</f>
        <v/>
      </c>
      <c r="H124" s="20"/>
      <c r="I124" s="20"/>
      <c r="J124" s="20"/>
      <c r="K124" s="20" t="str">
        <f t="shared" si="1"/>
        <v/>
      </c>
    </row>
    <row r="125">
      <c r="A125" s="43"/>
      <c r="C125" s="17"/>
      <c r="D125" s="17"/>
      <c r="E125" s="17" t="str">
        <f>IF(D125="","",IFERROR(VLOOKUP(D125,COA!A:B,2,FALSE),"-"))</f>
        <v/>
      </c>
      <c r="F125" s="17"/>
      <c r="G125" s="17" t="str">
        <f>IF(F125="","",IFERROR(VLOOKUP(F125,COA!A:B,2,FALSE),"-"))</f>
        <v/>
      </c>
      <c r="H125" s="20"/>
      <c r="I125" s="20"/>
      <c r="J125" s="20"/>
      <c r="K125" s="20" t="str">
        <f t="shared" si="1"/>
        <v/>
      </c>
    </row>
    <row r="126">
      <c r="A126" s="43"/>
      <c r="C126" s="17"/>
      <c r="D126" s="17"/>
      <c r="E126" s="17" t="str">
        <f>IF(D126="","",IFERROR(VLOOKUP(D126,COA!A:B,2,FALSE),"-"))</f>
        <v/>
      </c>
      <c r="F126" s="17"/>
      <c r="G126" s="17" t="str">
        <f>IF(F126="","",IFERROR(VLOOKUP(F126,COA!A:B,2,FALSE),"-"))</f>
        <v/>
      </c>
      <c r="H126" s="20"/>
      <c r="I126" s="20"/>
      <c r="J126" s="20"/>
      <c r="K126" s="20" t="str">
        <f t="shared" si="1"/>
        <v/>
      </c>
    </row>
    <row r="127">
      <c r="A127" s="43"/>
      <c r="C127" s="17"/>
      <c r="D127" s="17"/>
      <c r="E127" s="17" t="str">
        <f>IF(D127="","",IFERROR(VLOOKUP(D127,COA!A:B,2,FALSE),"-"))</f>
        <v/>
      </c>
      <c r="F127" s="17"/>
      <c r="G127" s="17" t="str">
        <f>IF(F127="","",IFERROR(VLOOKUP(F127,COA!A:B,2,FALSE),"-"))</f>
        <v/>
      </c>
      <c r="H127" s="20"/>
      <c r="I127" s="20"/>
      <c r="J127" s="20"/>
      <c r="K127" s="20" t="str">
        <f t="shared" si="1"/>
        <v/>
      </c>
    </row>
    <row r="128">
      <c r="A128" s="43"/>
      <c r="C128" s="17"/>
      <c r="D128" s="17"/>
      <c r="E128" s="17" t="str">
        <f>IF(D128="","",IFERROR(VLOOKUP(D128,COA!A:B,2,FALSE),"-"))</f>
        <v/>
      </c>
      <c r="F128" s="17"/>
      <c r="G128" s="17" t="str">
        <f>IF(F128="","",IFERROR(VLOOKUP(F128,COA!A:B,2,FALSE),"-"))</f>
        <v/>
      </c>
      <c r="H128" s="20"/>
      <c r="I128" s="20"/>
      <c r="J128" s="20"/>
      <c r="K128" s="20" t="str">
        <f t="shared" si="1"/>
        <v/>
      </c>
    </row>
    <row r="129">
      <c r="A129" s="43"/>
      <c r="C129" s="17"/>
      <c r="D129" s="17"/>
      <c r="E129" s="17" t="str">
        <f>IF(D129="","",IFERROR(VLOOKUP(D129,COA!A:B,2,FALSE),"-"))</f>
        <v/>
      </c>
      <c r="F129" s="17"/>
      <c r="G129" s="17" t="str">
        <f>IF(F129="","",IFERROR(VLOOKUP(F129,COA!A:B,2,FALSE),"-"))</f>
        <v/>
      </c>
      <c r="H129" s="20"/>
      <c r="I129" s="20"/>
      <c r="J129" s="20"/>
      <c r="K129" s="20" t="str">
        <f t="shared" si="1"/>
        <v/>
      </c>
    </row>
    <row r="130">
      <c r="A130" s="43"/>
      <c r="C130" s="17"/>
      <c r="D130" s="17"/>
      <c r="E130" s="17" t="str">
        <f>IF(D130="","",IFERROR(VLOOKUP(D130,COA!A:B,2,FALSE),"-"))</f>
        <v/>
      </c>
      <c r="F130" s="17"/>
      <c r="G130" s="17" t="str">
        <f>IF(F130="","",IFERROR(VLOOKUP(F130,COA!A:B,2,FALSE),"-"))</f>
        <v/>
      </c>
      <c r="H130" s="20"/>
      <c r="I130" s="20"/>
      <c r="J130" s="20"/>
      <c r="K130" s="20" t="str">
        <f t="shared" si="1"/>
        <v/>
      </c>
    </row>
    <row r="131">
      <c r="A131" s="43"/>
      <c r="C131" s="17"/>
      <c r="D131" s="17"/>
      <c r="E131" s="17" t="str">
        <f>IF(D131="","",IFERROR(VLOOKUP(D131,COA!A:B,2,FALSE),"-"))</f>
        <v/>
      </c>
      <c r="F131" s="17"/>
      <c r="G131" s="17" t="str">
        <f>IF(F131="","",IFERROR(VLOOKUP(F131,COA!A:B,2,FALSE),"-"))</f>
        <v/>
      </c>
      <c r="H131" s="20"/>
      <c r="I131" s="20"/>
      <c r="J131" s="20"/>
      <c r="K131" s="20" t="str">
        <f t="shared" si="1"/>
        <v/>
      </c>
    </row>
    <row r="132">
      <c r="A132" s="43"/>
      <c r="C132" s="17"/>
      <c r="D132" s="17"/>
      <c r="E132" s="17" t="str">
        <f>IF(D132="","",IFERROR(VLOOKUP(D132,COA!A:B,2,FALSE),"-"))</f>
        <v/>
      </c>
      <c r="F132" s="17"/>
      <c r="G132" s="17" t="str">
        <f>IF(F132="","",IFERROR(VLOOKUP(F132,COA!A:B,2,FALSE),"-"))</f>
        <v/>
      </c>
      <c r="H132" s="20"/>
      <c r="I132" s="20"/>
      <c r="J132" s="20"/>
      <c r="K132" s="20" t="str">
        <f t="shared" si="1"/>
        <v/>
      </c>
    </row>
    <row r="133">
      <c r="A133" s="43"/>
      <c r="C133" s="17"/>
      <c r="D133" s="17"/>
      <c r="E133" s="17" t="str">
        <f>IF(D133="","",IFERROR(VLOOKUP(D133,COA!A:B,2,FALSE),"-"))</f>
        <v/>
      </c>
      <c r="F133" s="17"/>
      <c r="G133" s="17" t="str">
        <f>IF(F133="","",IFERROR(VLOOKUP(F133,COA!A:B,2,FALSE),"-"))</f>
        <v/>
      </c>
      <c r="H133" s="20"/>
      <c r="I133" s="20"/>
      <c r="J133" s="20"/>
      <c r="K133" s="20" t="str">
        <f t="shared" si="1"/>
        <v/>
      </c>
    </row>
    <row r="134">
      <c r="A134" s="43"/>
      <c r="C134" s="17"/>
      <c r="D134" s="17"/>
      <c r="E134" s="17" t="str">
        <f>IF(D134="","",IFERROR(VLOOKUP(D134,COA!A:B,2,FALSE),"-"))</f>
        <v/>
      </c>
      <c r="F134" s="17"/>
      <c r="G134" s="17" t="str">
        <f>IF(F134="","",IFERROR(VLOOKUP(F134,COA!A:B,2,FALSE),"-"))</f>
        <v/>
      </c>
      <c r="H134" s="20"/>
      <c r="I134" s="20"/>
      <c r="J134" s="20"/>
      <c r="K134" s="20" t="str">
        <f t="shared" si="1"/>
        <v/>
      </c>
    </row>
    <row r="135">
      <c r="A135" s="43"/>
      <c r="C135" s="17"/>
      <c r="D135" s="17"/>
      <c r="E135" s="17" t="str">
        <f>IF(D135="","",IFERROR(VLOOKUP(D135,COA!A:B,2,FALSE),"-"))</f>
        <v/>
      </c>
      <c r="F135" s="17"/>
      <c r="G135" s="17" t="str">
        <f>IF(F135="","",IFERROR(VLOOKUP(F135,COA!A:B,2,FALSE),"-"))</f>
        <v/>
      </c>
      <c r="H135" s="20"/>
      <c r="I135" s="20"/>
      <c r="J135" s="20"/>
      <c r="K135" s="20" t="str">
        <f t="shared" si="1"/>
        <v/>
      </c>
    </row>
    <row r="136">
      <c r="A136" s="43"/>
      <c r="C136" s="17"/>
      <c r="D136" s="17"/>
      <c r="E136" s="17" t="str">
        <f>IF(D136="","",IFERROR(VLOOKUP(D136,COA!A:B,2,FALSE),"-"))</f>
        <v/>
      </c>
      <c r="F136" s="17"/>
      <c r="G136" s="17" t="str">
        <f>IF(F136="","",IFERROR(VLOOKUP(F136,COA!A:B,2,FALSE),"-"))</f>
        <v/>
      </c>
      <c r="H136" s="20"/>
      <c r="I136" s="20"/>
      <c r="J136" s="20"/>
      <c r="K136" s="20" t="str">
        <f t="shared" si="1"/>
        <v/>
      </c>
    </row>
    <row r="137">
      <c r="A137" s="43"/>
      <c r="C137" s="17"/>
      <c r="D137" s="17"/>
      <c r="E137" s="17" t="str">
        <f>IF(D137="","",IFERROR(VLOOKUP(D137,COA!A:B,2,FALSE),"-"))</f>
        <v/>
      </c>
      <c r="F137" s="17"/>
      <c r="G137" s="17" t="str">
        <f>IF(F137="","",IFERROR(VLOOKUP(F137,COA!A:B,2,FALSE),"-"))</f>
        <v/>
      </c>
      <c r="H137" s="20"/>
      <c r="I137" s="20"/>
      <c r="J137" s="20"/>
      <c r="K137" s="20" t="str">
        <f t="shared" si="1"/>
        <v/>
      </c>
    </row>
    <row r="138">
      <c r="A138" s="43"/>
      <c r="C138" s="17"/>
      <c r="D138" s="17"/>
      <c r="E138" s="17" t="str">
        <f>IF(D138="","",IFERROR(VLOOKUP(D138,COA!A:B,2,FALSE),"-"))</f>
        <v/>
      </c>
      <c r="F138" s="17"/>
      <c r="G138" s="17" t="str">
        <f>IF(F138="","",IFERROR(VLOOKUP(F138,COA!A:B,2,FALSE),"-"))</f>
        <v/>
      </c>
      <c r="H138" s="20"/>
      <c r="I138" s="20"/>
      <c r="J138" s="20"/>
      <c r="K138" s="20" t="str">
        <f t="shared" si="1"/>
        <v/>
      </c>
    </row>
    <row r="139">
      <c r="A139" s="43"/>
      <c r="C139" s="17"/>
      <c r="D139" s="17"/>
      <c r="E139" s="17" t="str">
        <f>IF(D139="","",IFERROR(VLOOKUP(D139,COA!A:B,2,FALSE),"-"))</f>
        <v/>
      </c>
      <c r="F139" s="17"/>
      <c r="G139" s="17" t="str">
        <f>IF(F139="","",IFERROR(VLOOKUP(F139,COA!A:B,2,FALSE),"-"))</f>
        <v/>
      </c>
      <c r="H139" s="20"/>
      <c r="I139" s="20"/>
      <c r="J139" s="20"/>
      <c r="K139" s="20" t="str">
        <f t="shared" si="1"/>
        <v/>
      </c>
    </row>
    <row r="140">
      <c r="A140" s="43"/>
      <c r="C140" s="17"/>
      <c r="D140" s="17"/>
      <c r="E140" s="17" t="str">
        <f>IF(D140="","",IFERROR(VLOOKUP(D140,COA!A:B,2,FALSE),"-"))</f>
        <v/>
      </c>
      <c r="F140" s="17"/>
      <c r="G140" s="17" t="str">
        <f>IF(F140="","",IFERROR(VLOOKUP(F140,COA!A:B,2,FALSE),"-"))</f>
        <v/>
      </c>
      <c r="H140" s="20"/>
      <c r="I140" s="20"/>
      <c r="J140" s="20"/>
      <c r="K140" s="20" t="str">
        <f t="shared" si="1"/>
        <v/>
      </c>
    </row>
    <row r="141">
      <c r="A141" s="43"/>
      <c r="C141" s="17"/>
      <c r="D141" s="17"/>
      <c r="E141" s="17" t="str">
        <f>IF(D141="","",IFERROR(VLOOKUP(D141,COA!A:B,2,FALSE),"-"))</f>
        <v/>
      </c>
      <c r="F141" s="17"/>
      <c r="G141" s="17" t="str">
        <f>IF(F141="","",IFERROR(VLOOKUP(F141,COA!A:B,2,FALSE),"-"))</f>
        <v/>
      </c>
      <c r="H141" s="20"/>
      <c r="I141" s="20"/>
      <c r="J141" s="20"/>
      <c r="K141" s="20" t="str">
        <f t="shared" si="1"/>
        <v/>
      </c>
    </row>
    <row r="142">
      <c r="A142" s="43"/>
      <c r="C142" s="17"/>
      <c r="D142" s="17"/>
      <c r="E142" s="17" t="str">
        <f>IF(D142="","",IFERROR(VLOOKUP(D142,COA!A:B,2,FALSE),"-"))</f>
        <v/>
      </c>
      <c r="F142" s="17"/>
      <c r="G142" s="17" t="str">
        <f>IF(F142="","",IFERROR(VLOOKUP(F142,COA!A:B,2,FALSE),"-"))</f>
        <v/>
      </c>
      <c r="H142" s="20"/>
      <c r="I142" s="20"/>
      <c r="J142" s="20"/>
      <c r="K142" s="20" t="str">
        <f t="shared" si="1"/>
        <v/>
      </c>
    </row>
    <row r="143">
      <c r="A143" s="43"/>
      <c r="C143" s="17"/>
      <c r="D143" s="17"/>
      <c r="E143" s="17" t="str">
        <f>IF(D143="","",IFERROR(VLOOKUP(D143,COA!A:B,2,FALSE),"-"))</f>
        <v/>
      </c>
      <c r="F143" s="17"/>
      <c r="G143" s="17" t="str">
        <f>IF(F143="","",IFERROR(VLOOKUP(F143,COA!A:B,2,FALSE),"-"))</f>
        <v/>
      </c>
      <c r="H143" s="20"/>
      <c r="I143" s="20"/>
      <c r="J143" s="20"/>
      <c r="K143" s="20" t="str">
        <f t="shared" si="1"/>
        <v/>
      </c>
    </row>
    <row r="144">
      <c r="A144" s="43"/>
      <c r="C144" s="17"/>
      <c r="D144" s="17"/>
      <c r="E144" s="17" t="str">
        <f>IF(D144="","",IFERROR(VLOOKUP(D144,COA!A:B,2,FALSE),"-"))</f>
        <v/>
      </c>
      <c r="F144" s="17"/>
      <c r="G144" s="17" t="str">
        <f>IF(F144="","",IFERROR(VLOOKUP(F144,COA!A:B,2,FALSE),"-"))</f>
        <v/>
      </c>
      <c r="H144" s="20"/>
      <c r="I144" s="20"/>
      <c r="J144" s="20"/>
      <c r="K144" s="20" t="str">
        <f t="shared" si="1"/>
        <v/>
      </c>
    </row>
    <row r="145">
      <c r="A145" s="43"/>
      <c r="C145" s="17"/>
      <c r="D145" s="17"/>
      <c r="E145" s="17" t="str">
        <f>IF(D145="","",IFERROR(VLOOKUP(D145,COA!A:B,2,FALSE),"-"))</f>
        <v/>
      </c>
      <c r="F145" s="17"/>
      <c r="G145" s="17" t="str">
        <f>IF(F145="","",IFERROR(VLOOKUP(F145,COA!A:B,2,FALSE),"-"))</f>
        <v/>
      </c>
      <c r="H145" s="20"/>
      <c r="I145" s="20"/>
      <c r="J145" s="20"/>
      <c r="K145" s="20" t="str">
        <f t="shared" si="1"/>
        <v/>
      </c>
    </row>
    <row r="146">
      <c r="A146" s="43"/>
      <c r="C146" s="17"/>
      <c r="D146" s="17"/>
      <c r="E146" s="17" t="str">
        <f>IF(D146="","",IFERROR(VLOOKUP(D146,COA!A:B,2,FALSE),"-"))</f>
        <v/>
      </c>
      <c r="F146" s="17"/>
      <c r="G146" s="17" t="str">
        <f>IF(F146="","",IFERROR(VLOOKUP(F146,COA!A:B,2,FALSE),"-"))</f>
        <v/>
      </c>
      <c r="H146" s="20"/>
      <c r="I146" s="20"/>
      <c r="J146" s="20"/>
      <c r="K146" s="20" t="str">
        <f t="shared" si="1"/>
        <v/>
      </c>
    </row>
    <row r="147">
      <c r="A147" s="43"/>
      <c r="C147" s="17"/>
      <c r="D147" s="17"/>
      <c r="E147" s="17" t="str">
        <f>IF(D147="","",IFERROR(VLOOKUP(D147,COA!A:B,2,FALSE),"-"))</f>
        <v/>
      </c>
      <c r="F147" s="17"/>
      <c r="G147" s="17" t="str">
        <f>IF(F147="","",IFERROR(VLOOKUP(F147,COA!A:B,2,FALSE),"-"))</f>
        <v/>
      </c>
      <c r="H147" s="20"/>
      <c r="I147" s="20"/>
      <c r="J147" s="20"/>
      <c r="K147" s="20" t="str">
        <f t="shared" si="1"/>
        <v/>
      </c>
    </row>
    <row r="148">
      <c r="A148" s="43"/>
      <c r="C148" s="17"/>
      <c r="D148" s="17"/>
      <c r="E148" s="17" t="str">
        <f>IF(D148="","",IFERROR(VLOOKUP(D148,COA!A:B,2,FALSE),"-"))</f>
        <v/>
      </c>
      <c r="F148" s="17"/>
      <c r="G148" s="17" t="str">
        <f>IF(F148="","",IFERROR(VLOOKUP(F148,COA!A:B,2,FALSE),"-"))</f>
        <v/>
      </c>
      <c r="H148" s="20"/>
      <c r="I148" s="20"/>
      <c r="J148" s="20"/>
      <c r="K148" s="20" t="str">
        <f t="shared" si="1"/>
        <v/>
      </c>
    </row>
    <row r="149">
      <c r="A149" s="43"/>
      <c r="C149" s="17"/>
      <c r="D149" s="17"/>
      <c r="E149" s="17" t="str">
        <f>IF(D149="","",IFERROR(VLOOKUP(D149,COA!A:B,2,FALSE),"-"))</f>
        <v/>
      </c>
      <c r="F149" s="17"/>
      <c r="G149" s="17" t="str">
        <f>IF(F149="","",IFERROR(VLOOKUP(F149,COA!A:B,2,FALSE),"-"))</f>
        <v/>
      </c>
      <c r="H149" s="20"/>
      <c r="I149" s="20"/>
      <c r="J149" s="20"/>
      <c r="K149" s="20" t="str">
        <f t="shared" si="1"/>
        <v/>
      </c>
    </row>
    <row r="150">
      <c r="A150" s="43"/>
      <c r="C150" s="17"/>
      <c r="D150" s="17"/>
      <c r="E150" s="17" t="str">
        <f>IF(D150="","",IFERROR(VLOOKUP(D150,COA!A:B,2,FALSE),"-"))</f>
        <v/>
      </c>
      <c r="F150" s="17"/>
      <c r="G150" s="17" t="str">
        <f>IF(F150="","",IFERROR(VLOOKUP(F150,COA!A:B,2,FALSE),"-"))</f>
        <v/>
      </c>
      <c r="H150" s="20"/>
      <c r="I150" s="20"/>
      <c r="J150" s="20"/>
      <c r="K150" s="20" t="str">
        <f t="shared" si="1"/>
        <v/>
      </c>
    </row>
    <row r="151">
      <c r="A151" s="43"/>
      <c r="C151" s="17"/>
      <c r="D151" s="17"/>
      <c r="E151" s="17" t="str">
        <f>IF(D151="","",IFERROR(VLOOKUP(D151,COA!A:B,2,FALSE),"-"))</f>
        <v/>
      </c>
      <c r="F151" s="17"/>
      <c r="G151" s="17" t="str">
        <f>IF(F151="","",IFERROR(VLOOKUP(F151,COA!A:B,2,FALSE),"-"))</f>
        <v/>
      </c>
      <c r="H151" s="20"/>
      <c r="I151" s="20"/>
      <c r="J151" s="20"/>
      <c r="K151" s="20" t="str">
        <f t="shared" si="1"/>
        <v/>
      </c>
    </row>
    <row r="152">
      <c r="A152" s="43"/>
      <c r="C152" s="17"/>
      <c r="D152" s="17"/>
      <c r="E152" s="17" t="str">
        <f>IF(D152="","",IFERROR(VLOOKUP(D152,COA!A:B,2,FALSE),"-"))</f>
        <v/>
      </c>
      <c r="F152" s="17"/>
      <c r="G152" s="17" t="str">
        <f>IF(F152="","",IFERROR(VLOOKUP(F152,COA!A:B,2,FALSE),"-"))</f>
        <v/>
      </c>
      <c r="H152" s="20"/>
      <c r="I152" s="20"/>
      <c r="J152" s="20"/>
      <c r="K152" s="20" t="str">
        <f t="shared" si="1"/>
        <v/>
      </c>
    </row>
    <row r="153">
      <c r="A153" s="43"/>
      <c r="C153" s="17"/>
      <c r="D153" s="17"/>
      <c r="E153" s="17" t="str">
        <f>IF(D153="","",IFERROR(VLOOKUP(D153,COA!A:B,2,FALSE),"-"))</f>
        <v/>
      </c>
      <c r="F153" s="17"/>
      <c r="G153" s="17" t="str">
        <f>IF(F153="","",IFERROR(VLOOKUP(F153,COA!A:B,2,FALSE),"-"))</f>
        <v/>
      </c>
      <c r="H153" s="20"/>
      <c r="I153" s="20"/>
      <c r="J153" s="20"/>
      <c r="K153" s="20" t="str">
        <f t="shared" si="1"/>
        <v/>
      </c>
    </row>
    <row r="154">
      <c r="A154" s="43"/>
      <c r="C154" s="17"/>
      <c r="D154" s="17"/>
      <c r="E154" s="17" t="str">
        <f>IF(D154="","",IFERROR(VLOOKUP(D154,COA!A:B,2,FALSE),"-"))</f>
        <v/>
      </c>
      <c r="F154" s="17"/>
      <c r="G154" s="17" t="str">
        <f>IF(F154="","",IFERROR(VLOOKUP(F154,COA!A:B,2,FALSE),"-"))</f>
        <v/>
      </c>
      <c r="H154" s="20"/>
      <c r="I154" s="20"/>
      <c r="J154" s="20"/>
      <c r="K154" s="20" t="str">
        <f t="shared" si="1"/>
        <v/>
      </c>
    </row>
    <row r="155">
      <c r="A155" s="43"/>
      <c r="C155" s="17"/>
      <c r="D155" s="17"/>
      <c r="E155" s="17" t="str">
        <f>IF(D155="","",IFERROR(VLOOKUP(D155,COA!A:B,2,FALSE),"-"))</f>
        <v/>
      </c>
      <c r="F155" s="17"/>
      <c r="G155" s="17" t="str">
        <f>IF(F155="","",IFERROR(VLOOKUP(F155,COA!A:B,2,FALSE),"-"))</f>
        <v/>
      </c>
      <c r="H155" s="20"/>
      <c r="I155" s="20"/>
      <c r="J155" s="20"/>
      <c r="K155" s="20" t="str">
        <f t="shared" si="1"/>
        <v/>
      </c>
    </row>
    <row r="156">
      <c r="A156" s="43"/>
      <c r="C156" s="17"/>
      <c r="D156" s="17"/>
      <c r="E156" s="17" t="str">
        <f>IF(D156="","",IFERROR(VLOOKUP(D156,COA!A:B,2,FALSE),"-"))</f>
        <v/>
      </c>
      <c r="F156" s="17"/>
      <c r="G156" s="17" t="str">
        <f>IF(F156="","",IFERROR(VLOOKUP(F156,COA!A:B,2,FALSE),"-"))</f>
        <v/>
      </c>
      <c r="H156" s="20"/>
      <c r="I156" s="20"/>
      <c r="J156" s="20"/>
      <c r="K156" s="20" t="str">
        <f t="shared" si="1"/>
        <v/>
      </c>
    </row>
    <row r="157">
      <c r="A157" s="43"/>
      <c r="C157" s="17"/>
      <c r="D157" s="17"/>
      <c r="E157" s="17" t="str">
        <f>IF(D157="","",IFERROR(VLOOKUP(D157,COA!A:B,2,FALSE),"-"))</f>
        <v/>
      </c>
      <c r="F157" s="17"/>
      <c r="G157" s="17" t="str">
        <f>IF(F157="","",IFERROR(VLOOKUP(F157,COA!A:B,2,FALSE),"-"))</f>
        <v/>
      </c>
      <c r="H157" s="20"/>
      <c r="I157" s="20"/>
      <c r="J157" s="20"/>
      <c r="K157" s="20" t="str">
        <f t="shared" si="1"/>
        <v/>
      </c>
    </row>
    <row r="158">
      <c r="A158" s="43"/>
      <c r="C158" s="17"/>
      <c r="D158" s="17"/>
      <c r="E158" s="17" t="str">
        <f>IF(D158="","",IFERROR(VLOOKUP(D158,COA!A:B,2,FALSE),"-"))</f>
        <v/>
      </c>
      <c r="F158" s="17"/>
      <c r="G158" s="17" t="str">
        <f>IF(F158="","",IFERROR(VLOOKUP(F158,COA!A:B,2,FALSE),"-"))</f>
        <v/>
      </c>
      <c r="H158" s="20"/>
      <c r="I158" s="20"/>
      <c r="J158" s="20"/>
      <c r="K158" s="20" t="str">
        <f t="shared" si="1"/>
        <v/>
      </c>
    </row>
    <row r="159">
      <c r="A159" s="43"/>
      <c r="C159" s="17"/>
      <c r="D159" s="17"/>
      <c r="E159" s="17" t="str">
        <f>IF(D159="","",IFERROR(VLOOKUP(D159,COA!A:B,2,FALSE),"-"))</f>
        <v/>
      </c>
      <c r="F159" s="17"/>
      <c r="G159" s="17" t="str">
        <f>IF(F159="","",IFERROR(VLOOKUP(F159,COA!A:B,2,FALSE),"-"))</f>
        <v/>
      </c>
      <c r="H159" s="20"/>
      <c r="I159" s="20"/>
      <c r="J159" s="20"/>
      <c r="K159" s="20" t="str">
        <f t="shared" si="1"/>
        <v/>
      </c>
    </row>
    <row r="160">
      <c r="A160" s="43"/>
      <c r="C160" s="17"/>
      <c r="D160" s="17"/>
      <c r="E160" s="17" t="str">
        <f>IF(D160="","",IFERROR(VLOOKUP(D160,COA!A:B,2,FALSE),"-"))</f>
        <v/>
      </c>
      <c r="F160" s="17"/>
      <c r="G160" s="17" t="str">
        <f>IF(F160="","",IFERROR(VLOOKUP(F160,COA!A:B,2,FALSE),"-"))</f>
        <v/>
      </c>
      <c r="H160" s="20"/>
      <c r="I160" s="20"/>
      <c r="J160" s="20"/>
      <c r="K160" s="20" t="str">
        <f t="shared" si="1"/>
        <v/>
      </c>
    </row>
    <row r="161">
      <c r="A161" s="43"/>
      <c r="C161" s="17"/>
      <c r="D161" s="17"/>
      <c r="E161" s="17" t="str">
        <f>IF(D161="","",IFERROR(VLOOKUP(D161,COA!A:B,2,FALSE),"-"))</f>
        <v/>
      </c>
      <c r="F161" s="17"/>
      <c r="G161" s="17" t="str">
        <f>IF(F161="","",IFERROR(VLOOKUP(F161,COA!A:B,2,FALSE),"-"))</f>
        <v/>
      </c>
      <c r="H161" s="20"/>
      <c r="I161" s="20"/>
      <c r="J161" s="20"/>
      <c r="K161" s="20" t="str">
        <f t="shared" si="1"/>
        <v/>
      </c>
    </row>
    <row r="162">
      <c r="A162" s="43"/>
      <c r="C162" s="17"/>
      <c r="D162" s="17"/>
      <c r="E162" s="17" t="str">
        <f>IF(D162="","",IFERROR(VLOOKUP(D162,COA!A:B,2,FALSE),"-"))</f>
        <v/>
      </c>
      <c r="F162" s="17"/>
      <c r="G162" s="17" t="str">
        <f>IF(F162="","",IFERROR(VLOOKUP(F162,COA!A:B,2,FALSE),"-"))</f>
        <v/>
      </c>
      <c r="H162" s="20"/>
      <c r="I162" s="20"/>
      <c r="J162" s="20"/>
      <c r="K162" s="20" t="str">
        <f t="shared" si="1"/>
        <v/>
      </c>
    </row>
    <row r="163">
      <c r="A163" s="43"/>
      <c r="C163" s="17"/>
      <c r="D163" s="17"/>
      <c r="E163" s="17" t="str">
        <f>IF(D163="","",IFERROR(VLOOKUP(D163,COA!A:B,2,FALSE),"-"))</f>
        <v/>
      </c>
      <c r="F163" s="17"/>
      <c r="G163" s="17" t="str">
        <f>IF(F163="","",IFERROR(VLOOKUP(F163,COA!A:B,2,FALSE),"-"))</f>
        <v/>
      </c>
      <c r="H163" s="20"/>
      <c r="I163" s="20"/>
      <c r="J163" s="20"/>
      <c r="K163" s="20" t="str">
        <f t="shared" si="1"/>
        <v/>
      </c>
    </row>
    <row r="164">
      <c r="A164" s="43"/>
      <c r="C164" s="17"/>
      <c r="D164" s="17"/>
      <c r="E164" s="17" t="str">
        <f>IF(D164="","",IFERROR(VLOOKUP(D164,COA!A:B,2,FALSE),"-"))</f>
        <v/>
      </c>
      <c r="F164" s="17"/>
      <c r="G164" s="17" t="str">
        <f>IF(F164="","",IFERROR(VLOOKUP(F164,COA!A:B,2,FALSE),"-"))</f>
        <v/>
      </c>
      <c r="H164" s="20"/>
      <c r="I164" s="20"/>
      <c r="J164" s="20"/>
      <c r="K164" s="20" t="str">
        <f t="shared" si="1"/>
        <v/>
      </c>
    </row>
    <row r="165">
      <c r="A165" s="43"/>
      <c r="C165" s="17"/>
      <c r="D165" s="17"/>
      <c r="E165" s="17" t="str">
        <f>IF(D165="","",IFERROR(VLOOKUP(D165,COA!A:B,2,FALSE),"-"))</f>
        <v/>
      </c>
      <c r="F165" s="17"/>
      <c r="G165" s="17" t="str">
        <f>IF(F165="","",IFERROR(VLOOKUP(F165,COA!A:B,2,FALSE),"-"))</f>
        <v/>
      </c>
      <c r="H165" s="20"/>
      <c r="I165" s="20"/>
      <c r="J165" s="20"/>
      <c r="K165" s="20" t="str">
        <f t="shared" si="1"/>
        <v/>
      </c>
    </row>
    <row r="166">
      <c r="A166" s="43"/>
      <c r="C166" s="17"/>
      <c r="D166" s="17"/>
      <c r="E166" s="17" t="str">
        <f>IF(D166="","",IFERROR(VLOOKUP(D166,COA!A:B,2,FALSE),"-"))</f>
        <v/>
      </c>
      <c r="F166" s="17"/>
      <c r="G166" s="17" t="str">
        <f>IF(F166="","",IFERROR(VLOOKUP(F166,COA!A:B,2,FALSE),"-"))</f>
        <v/>
      </c>
      <c r="H166" s="20"/>
      <c r="I166" s="20"/>
      <c r="J166" s="20"/>
      <c r="K166" s="20" t="str">
        <f t="shared" si="1"/>
        <v/>
      </c>
    </row>
    <row r="167">
      <c r="A167" s="43"/>
      <c r="C167" s="17"/>
      <c r="D167" s="17"/>
      <c r="E167" s="17" t="str">
        <f>IF(D167="","",IFERROR(VLOOKUP(D167,COA!A:B,2,FALSE),"-"))</f>
        <v/>
      </c>
      <c r="F167" s="17"/>
      <c r="G167" s="17" t="str">
        <f>IF(F167="","",IFERROR(VLOOKUP(F167,COA!A:B,2,FALSE),"-"))</f>
        <v/>
      </c>
      <c r="H167" s="20"/>
      <c r="I167" s="20"/>
      <c r="J167" s="20"/>
      <c r="K167" s="20" t="str">
        <f t="shared" si="1"/>
        <v/>
      </c>
    </row>
    <row r="168">
      <c r="A168" s="43"/>
      <c r="C168" s="17"/>
      <c r="D168" s="17"/>
      <c r="E168" s="17" t="str">
        <f>IF(D168="","",IFERROR(VLOOKUP(D168,COA!A:B,2,FALSE),"-"))</f>
        <v/>
      </c>
      <c r="F168" s="17"/>
      <c r="G168" s="17" t="str">
        <f>IF(F168="","",IFERROR(VLOOKUP(F168,COA!A:B,2,FALSE),"-"))</f>
        <v/>
      </c>
      <c r="H168" s="20"/>
      <c r="I168" s="20"/>
      <c r="J168" s="20"/>
      <c r="K168" s="20" t="str">
        <f t="shared" si="1"/>
        <v/>
      </c>
    </row>
    <row r="169">
      <c r="A169" s="43"/>
      <c r="C169" s="17"/>
      <c r="D169" s="17"/>
      <c r="E169" s="17" t="str">
        <f>IF(D169="","",IFERROR(VLOOKUP(D169,COA!A:B,2,FALSE),"-"))</f>
        <v/>
      </c>
      <c r="F169" s="17"/>
      <c r="G169" s="17" t="str">
        <f>IF(F169="","",IFERROR(VLOOKUP(F169,COA!A:B,2,FALSE),"-"))</f>
        <v/>
      </c>
      <c r="H169" s="20"/>
      <c r="I169" s="20"/>
      <c r="J169" s="20"/>
      <c r="K169" s="20" t="str">
        <f t="shared" si="1"/>
        <v/>
      </c>
    </row>
    <row r="170">
      <c r="A170" s="43"/>
      <c r="C170" s="17"/>
      <c r="D170" s="17"/>
      <c r="E170" s="17" t="str">
        <f>IF(D170="","",IFERROR(VLOOKUP(D170,COA!A:B,2,FALSE),"-"))</f>
        <v/>
      </c>
      <c r="F170" s="17"/>
      <c r="G170" s="17" t="str">
        <f>IF(F170="","",IFERROR(VLOOKUP(F170,COA!A:B,2,FALSE),"-"))</f>
        <v/>
      </c>
      <c r="H170" s="20"/>
      <c r="I170" s="20"/>
      <c r="J170" s="20"/>
      <c r="K170" s="20" t="str">
        <f t="shared" si="1"/>
        <v/>
      </c>
    </row>
    <row r="171">
      <c r="A171" s="43"/>
      <c r="C171" s="17"/>
      <c r="D171" s="17"/>
      <c r="E171" s="17" t="str">
        <f>IF(D171="","",IFERROR(VLOOKUP(D171,COA!A:B,2,FALSE),"-"))</f>
        <v/>
      </c>
      <c r="F171" s="17"/>
      <c r="G171" s="17" t="str">
        <f>IF(F171="","",IFERROR(VLOOKUP(F171,COA!A:B,2,FALSE),"-"))</f>
        <v/>
      </c>
      <c r="H171" s="20"/>
      <c r="I171" s="20"/>
      <c r="J171" s="20"/>
      <c r="K171" s="20" t="str">
        <f t="shared" si="1"/>
        <v/>
      </c>
    </row>
    <row r="172">
      <c r="A172" s="43"/>
      <c r="C172" s="17"/>
      <c r="D172" s="17"/>
      <c r="E172" s="17" t="str">
        <f>IF(D172="","",IFERROR(VLOOKUP(D172,COA!A:B,2,FALSE),"-"))</f>
        <v/>
      </c>
      <c r="F172" s="17"/>
      <c r="G172" s="17" t="str">
        <f>IF(F172="","",IFERROR(VLOOKUP(F172,COA!A:B,2,FALSE),"-"))</f>
        <v/>
      </c>
      <c r="H172" s="20"/>
      <c r="I172" s="20"/>
      <c r="J172" s="20"/>
      <c r="K172" s="20" t="str">
        <f t="shared" si="1"/>
        <v/>
      </c>
    </row>
    <row r="173">
      <c r="A173" s="43"/>
      <c r="C173" s="17"/>
      <c r="D173" s="17"/>
      <c r="E173" s="17" t="str">
        <f>IF(D173="","",IFERROR(VLOOKUP(D173,COA!A:B,2,FALSE),"-"))</f>
        <v/>
      </c>
      <c r="F173" s="17"/>
      <c r="G173" s="17" t="str">
        <f>IF(F173="","",IFERROR(VLOOKUP(F173,COA!A:B,2,FALSE),"-"))</f>
        <v/>
      </c>
      <c r="H173" s="20"/>
      <c r="I173" s="20"/>
      <c r="J173" s="20"/>
      <c r="K173" s="20" t="str">
        <f t="shared" si="1"/>
        <v/>
      </c>
    </row>
    <row r="174">
      <c r="A174" s="43"/>
      <c r="C174" s="17"/>
      <c r="D174" s="17"/>
      <c r="E174" s="17" t="str">
        <f>IF(D174="","",IFERROR(VLOOKUP(D174,COA!A:B,2,FALSE),"-"))</f>
        <v/>
      </c>
      <c r="F174" s="17"/>
      <c r="G174" s="17" t="str">
        <f>IF(F174="","",IFERROR(VLOOKUP(F174,COA!A:B,2,FALSE),"-"))</f>
        <v/>
      </c>
      <c r="H174" s="20"/>
      <c r="I174" s="20"/>
      <c r="J174" s="20"/>
      <c r="K174" s="20" t="str">
        <f t="shared" si="1"/>
        <v/>
      </c>
    </row>
    <row r="175">
      <c r="A175" s="43"/>
      <c r="C175" s="17"/>
      <c r="D175" s="17"/>
      <c r="E175" s="17" t="str">
        <f>IF(D175="","",IFERROR(VLOOKUP(D175,COA!A:B,2,FALSE),"-"))</f>
        <v/>
      </c>
      <c r="F175" s="17"/>
      <c r="G175" s="17" t="str">
        <f>IF(F175="","",IFERROR(VLOOKUP(F175,COA!A:B,2,FALSE),"-"))</f>
        <v/>
      </c>
      <c r="H175" s="20"/>
      <c r="I175" s="20"/>
      <c r="J175" s="20"/>
      <c r="K175" s="20" t="str">
        <f t="shared" si="1"/>
        <v/>
      </c>
    </row>
    <row r="176">
      <c r="A176" s="43"/>
      <c r="C176" s="17"/>
      <c r="D176" s="17"/>
      <c r="E176" s="17" t="str">
        <f>IF(D176="","",IFERROR(VLOOKUP(D176,COA!A:B,2,FALSE),"-"))</f>
        <v/>
      </c>
      <c r="F176" s="17"/>
      <c r="G176" s="17" t="str">
        <f>IF(F176="","",IFERROR(VLOOKUP(F176,COA!A:B,2,FALSE),"-"))</f>
        <v/>
      </c>
      <c r="H176" s="20"/>
      <c r="I176" s="20"/>
      <c r="J176" s="20"/>
      <c r="K176" s="20" t="str">
        <f t="shared" si="1"/>
        <v/>
      </c>
    </row>
    <row r="177">
      <c r="A177" s="43"/>
      <c r="C177" s="17"/>
      <c r="D177" s="17"/>
      <c r="E177" s="17" t="str">
        <f>IF(D177="","",IFERROR(VLOOKUP(D177,COA!A:B,2,FALSE),"-"))</f>
        <v/>
      </c>
      <c r="F177" s="17"/>
      <c r="G177" s="17" t="str">
        <f>IF(F177="","",IFERROR(VLOOKUP(F177,COA!A:B,2,FALSE),"-"))</f>
        <v/>
      </c>
      <c r="H177" s="20"/>
      <c r="I177" s="20"/>
      <c r="J177" s="20"/>
      <c r="K177" s="20" t="str">
        <f t="shared" si="1"/>
        <v/>
      </c>
    </row>
    <row r="178">
      <c r="A178" s="43"/>
      <c r="C178" s="17"/>
      <c r="D178" s="17"/>
      <c r="E178" s="17" t="str">
        <f>IF(D178="","",IFERROR(VLOOKUP(D178,COA!A:B,2,FALSE),"-"))</f>
        <v/>
      </c>
      <c r="F178" s="17"/>
      <c r="G178" s="17" t="str">
        <f>IF(F178="","",IFERROR(VLOOKUP(F178,COA!A:B,2,FALSE),"-"))</f>
        <v/>
      </c>
      <c r="H178" s="20"/>
      <c r="I178" s="20"/>
      <c r="J178" s="20"/>
      <c r="K178" s="20" t="str">
        <f t="shared" si="1"/>
        <v/>
      </c>
    </row>
    <row r="179">
      <c r="A179" s="43"/>
      <c r="C179" s="17"/>
      <c r="D179" s="17"/>
      <c r="E179" s="17" t="str">
        <f>IF(D179="","",IFERROR(VLOOKUP(D179,COA!A:B,2,FALSE),"-"))</f>
        <v/>
      </c>
      <c r="F179" s="17"/>
      <c r="G179" s="17" t="str">
        <f>IF(F179="","",IFERROR(VLOOKUP(F179,COA!A:B,2,FALSE),"-"))</f>
        <v/>
      </c>
      <c r="H179" s="20"/>
      <c r="I179" s="20"/>
      <c r="J179" s="20"/>
      <c r="K179" s="20" t="str">
        <f t="shared" si="1"/>
        <v/>
      </c>
    </row>
    <row r="180">
      <c r="A180" s="43"/>
      <c r="C180" s="17"/>
      <c r="D180" s="17"/>
      <c r="E180" s="17" t="str">
        <f>IF(D180="","",IFERROR(VLOOKUP(D180,COA!A:B,2,FALSE),"-"))</f>
        <v/>
      </c>
      <c r="F180" s="17"/>
      <c r="G180" s="17" t="str">
        <f>IF(F180="","",IFERROR(VLOOKUP(F180,COA!A:B,2,FALSE),"-"))</f>
        <v/>
      </c>
      <c r="H180" s="20"/>
      <c r="I180" s="20"/>
      <c r="J180" s="20"/>
      <c r="K180" s="20" t="str">
        <f t="shared" si="1"/>
        <v/>
      </c>
    </row>
    <row r="181">
      <c r="A181" s="43"/>
      <c r="C181" s="17"/>
      <c r="D181" s="17"/>
      <c r="E181" s="17" t="str">
        <f>IF(D181="","",IFERROR(VLOOKUP(D181,COA!A:B,2,FALSE),"-"))</f>
        <v/>
      </c>
      <c r="F181" s="17"/>
      <c r="G181" s="17" t="str">
        <f>IF(F181="","",IFERROR(VLOOKUP(F181,COA!A:B,2,FALSE),"-"))</f>
        <v/>
      </c>
      <c r="H181" s="20"/>
      <c r="I181" s="20"/>
      <c r="J181" s="20"/>
      <c r="K181" s="20" t="str">
        <f t="shared" si="1"/>
        <v/>
      </c>
    </row>
    <row r="182">
      <c r="A182" s="43"/>
      <c r="C182" s="17"/>
      <c r="D182" s="17"/>
      <c r="E182" s="17" t="str">
        <f>IF(D182="","",IFERROR(VLOOKUP(D182,COA!A:B,2,FALSE),"-"))</f>
        <v/>
      </c>
      <c r="F182" s="17"/>
      <c r="G182" s="17" t="str">
        <f>IF(F182="","",IFERROR(VLOOKUP(F182,COA!A:B,2,FALSE),"-"))</f>
        <v/>
      </c>
      <c r="H182" s="20"/>
      <c r="I182" s="20"/>
      <c r="J182" s="20"/>
      <c r="K182" s="20" t="str">
        <f t="shared" si="1"/>
        <v/>
      </c>
    </row>
    <row r="183">
      <c r="A183" s="43"/>
      <c r="C183" s="17"/>
      <c r="D183" s="17"/>
      <c r="E183" s="17" t="str">
        <f>IF(D183="","",IFERROR(VLOOKUP(D183,COA!A:B,2,FALSE),"-"))</f>
        <v/>
      </c>
      <c r="F183" s="17"/>
      <c r="G183" s="17" t="str">
        <f>IF(F183="","",IFERROR(VLOOKUP(F183,COA!A:B,2,FALSE),"-"))</f>
        <v/>
      </c>
      <c r="H183" s="20"/>
      <c r="I183" s="20"/>
      <c r="J183" s="20"/>
      <c r="K183" s="20" t="str">
        <f t="shared" si="1"/>
        <v/>
      </c>
    </row>
    <row r="184">
      <c r="A184" s="43"/>
      <c r="C184" s="17"/>
      <c r="D184" s="17"/>
      <c r="E184" s="17" t="str">
        <f>IF(D184="","",IFERROR(VLOOKUP(D184,COA!A:B,2,FALSE),"-"))</f>
        <v/>
      </c>
      <c r="F184" s="17"/>
      <c r="G184" s="17" t="str">
        <f>IF(F184="","",IFERROR(VLOOKUP(F184,COA!A:B,2,FALSE),"-"))</f>
        <v/>
      </c>
      <c r="H184" s="20"/>
      <c r="I184" s="20"/>
      <c r="J184" s="20"/>
      <c r="K184" s="20" t="str">
        <f t="shared" si="1"/>
        <v/>
      </c>
    </row>
    <row r="185">
      <c r="A185" s="43"/>
      <c r="C185" s="17"/>
      <c r="D185" s="17"/>
      <c r="E185" s="17" t="str">
        <f>IF(D185="","",IFERROR(VLOOKUP(D185,COA!A:B,2,FALSE),"-"))</f>
        <v/>
      </c>
      <c r="F185" s="17"/>
      <c r="G185" s="17" t="str">
        <f>IF(F185="","",IFERROR(VLOOKUP(F185,COA!A:B,2,FALSE),"-"))</f>
        <v/>
      </c>
      <c r="H185" s="20"/>
      <c r="I185" s="20"/>
      <c r="J185" s="20"/>
      <c r="K185" s="20" t="str">
        <f t="shared" si="1"/>
        <v/>
      </c>
    </row>
    <row r="186">
      <c r="A186" s="43"/>
      <c r="C186" s="17"/>
      <c r="D186" s="17"/>
      <c r="E186" s="17" t="str">
        <f>IF(D186="","",IFERROR(VLOOKUP(D186,COA!A:B,2,FALSE),"-"))</f>
        <v/>
      </c>
      <c r="F186" s="17"/>
      <c r="G186" s="17" t="str">
        <f>IF(F186="","",IFERROR(VLOOKUP(F186,COA!A:B,2,FALSE),"-"))</f>
        <v/>
      </c>
      <c r="H186" s="20"/>
      <c r="I186" s="20"/>
      <c r="J186" s="20"/>
      <c r="K186" s="20" t="str">
        <f t="shared" si="1"/>
        <v/>
      </c>
    </row>
    <row r="187">
      <c r="A187" s="43"/>
      <c r="C187" s="17"/>
      <c r="D187" s="17"/>
      <c r="E187" s="17" t="str">
        <f>IF(D187="","",IFERROR(VLOOKUP(D187,COA!A:B,2,FALSE),"-"))</f>
        <v/>
      </c>
      <c r="F187" s="17"/>
      <c r="G187" s="17" t="str">
        <f>IF(F187="","",IFERROR(VLOOKUP(F187,COA!A:B,2,FALSE),"-"))</f>
        <v/>
      </c>
      <c r="H187" s="20"/>
      <c r="I187" s="20"/>
      <c r="J187" s="20"/>
      <c r="K187" s="20" t="str">
        <f t="shared" si="1"/>
        <v/>
      </c>
    </row>
    <row r="188">
      <c r="A188" s="43"/>
      <c r="C188" s="17"/>
      <c r="D188" s="17"/>
      <c r="E188" s="17" t="str">
        <f>IF(D188="","",IFERROR(VLOOKUP(D188,COA!A:B,2,FALSE),"-"))</f>
        <v/>
      </c>
      <c r="F188" s="17"/>
      <c r="G188" s="17" t="str">
        <f>IF(F188="","",IFERROR(VLOOKUP(F188,COA!A:B,2,FALSE),"-"))</f>
        <v/>
      </c>
      <c r="H188" s="20"/>
      <c r="I188" s="20"/>
      <c r="J188" s="20"/>
      <c r="K188" s="20" t="str">
        <f t="shared" si="1"/>
        <v/>
      </c>
    </row>
    <row r="189">
      <c r="A189" s="43"/>
      <c r="C189" s="17"/>
      <c r="D189" s="17"/>
      <c r="E189" s="17" t="str">
        <f>IF(D189="","",IFERROR(VLOOKUP(D189,COA!A:B,2,FALSE),"-"))</f>
        <v/>
      </c>
      <c r="F189" s="17"/>
      <c r="G189" s="17" t="str">
        <f>IF(F189="","",IFERROR(VLOOKUP(F189,COA!A:B,2,FALSE),"-"))</f>
        <v/>
      </c>
      <c r="H189" s="20"/>
      <c r="I189" s="20"/>
      <c r="J189" s="20"/>
      <c r="K189" s="20" t="str">
        <f t="shared" si="1"/>
        <v/>
      </c>
    </row>
    <row r="190">
      <c r="A190" s="43"/>
      <c r="C190" s="17"/>
      <c r="D190" s="17"/>
      <c r="E190" s="17" t="str">
        <f>IF(D190="","",IFERROR(VLOOKUP(D190,COA!A:B,2,FALSE),"-"))</f>
        <v/>
      </c>
      <c r="F190" s="17"/>
      <c r="G190" s="17" t="str">
        <f>IF(F190="","",IFERROR(VLOOKUP(F190,COA!A:B,2,FALSE),"-"))</f>
        <v/>
      </c>
      <c r="H190" s="20"/>
      <c r="I190" s="20"/>
      <c r="J190" s="20"/>
      <c r="K190" s="20" t="str">
        <f t="shared" si="1"/>
        <v/>
      </c>
    </row>
    <row r="191">
      <c r="A191" s="43"/>
      <c r="C191" s="17"/>
      <c r="D191" s="17"/>
      <c r="E191" s="17" t="str">
        <f>IF(D191="","",IFERROR(VLOOKUP(D191,COA!A:B,2,FALSE),"-"))</f>
        <v/>
      </c>
      <c r="F191" s="17"/>
      <c r="G191" s="17" t="str">
        <f>IF(F191="","",IFERROR(VLOOKUP(F191,COA!A:B,2,FALSE),"-"))</f>
        <v/>
      </c>
      <c r="H191" s="20"/>
      <c r="I191" s="20"/>
      <c r="J191" s="20"/>
      <c r="K191" s="20" t="str">
        <f t="shared" si="1"/>
        <v/>
      </c>
    </row>
    <row r="192">
      <c r="A192" s="43"/>
      <c r="C192" s="17"/>
      <c r="D192" s="17"/>
      <c r="E192" s="17" t="str">
        <f>IF(D192="","",IFERROR(VLOOKUP(D192,COA!A:B,2,FALSE),"-"))</f>
        <v/>
      </c>
      <c r="F192" s="17"/>
      <c r="G192" s="17" t="str">
        <f>IF(F192="","",IFERROR(VLOOKUP(F192,COA!A:B,2,FALSE),"-"))</f>
        <v/>
      </c>
      <c r="H192" s="20"/>
      <c r="I192" s="20"/>
      <c r="J192" s="20"/>
      <c r="K192" s="20" t="str">
        <f t="shared" si="1"/>
        <v/>
      </c>
    </row>
    <row r="193">
      <c r="A193" s="43"/>
      <c r="C193" s="17"/>
      <c r="D193" s="17"/>
      <c r="E193" s="17" t="str">
        <f>IF(D193="","",IFERROR(VLOOKUP(D193,COA!A:B,2,FALSE),"-"))</f>
        <v/>
      </c>
      <c r="F193" s="17"/>
      <c r="G193" s="17" t="str">
        <f>IF(F193="","",IFERROR(VLOOKUP(F193,COA!A:B,2,FALSE),"-"))</f>
        <v/>
      </c>
      <c r="H193" s="20"/>
      <c r="I193" s="20"/>
      <c r="J193" s="20"/>
      <c r="K193" s="20" t="str">
        <f t="shared" si="1"/>
        <v/>
      </c>
    </row>
    <row r="194">
      <c r="A194" s="43"/>
      <c r="C194" s="17"/>
      <c r="D194" s="17"/>
      <c r="E194" s="17" t="str">
        <f>IF(D194="","",IFERROR(VLOOKUP(D194,COA!A:B,2,FALSE),"-"))</f>
        <v/>
      </c>
      <c r="F194" s="17"/>
      <c r="G194" s="17" t="str">
        <f>IF(F194="","",IFERROR(VLOOKUP(F194,COA!A:B,2,FALSE),"-"))</f>
        <v/>
      </c>
      <c r="H194" s="20"/>
      <c r="I194" s="20"/>
      <c r="J194" s="20"/>
      <c r="K194" s="20" t="str">
        <f t="shared" si="1"/>
        <v/>
      </c>
    </row>
    <row r="195">
      <c r="A195" s="43"/>
      <c r="C195" s="17"/>
      <c r="D195" s="17"/>
      <c r="E195" s="17" t="str">
        <f>IF(D195="","",IFERROR(VLOOKUP(D195,COA!A:B,2,FALSE),"-"))</f>
        <v/>
      </c>
      <c r="F195" s="17"/>
      <c r="G195" s="17" t="str">
        <f>IF(F195="","",IFERROR(VLOOKUP(F195,COA!A:B,2,FALSE),"-"))</f>
        <v/>
      </c>
      <c r="H195" s="20"/>
      <c r="I195" s="20"/>
      <c r="J195" s="20"/>
      <c r="K195" s="20" t="str">
        <f t="shared" si="1"/>
        <v/>
      </c>
    </row>
    <row r="196">
      <c r="A196" s="43"/>
      <c r="C196" s="17"/>
      <c r="D196" s="17"/>
      <c r="E196" s="17" t="str">
        <f>IF(D196="","",IFERROR(VLOOKUP(D196,COA!A:B,2,FALSE),"-"))</f>
        <v/>
      </c>
      <c r="F196" s="17"/>
      <c r="G196" s="17" t="str">
        <f>IF(F196="","",IFERROR(VLOOKUP(F196,COA!A:B,2,FALSE),"-"))</f>
        <v/>
      </c>
      <c r="H196" s="20"/>
      <c r="I196" s="20"/>
      <c r="J196" s="20"/>
      <c r="K196" s="20" t="str">
        <f t="shared" si="1"/>
        <v/>
      </c>
    </row>
    <row r="197">
      <c r="A197" s="43"/>
      <c r="C197" s="17"/>
      <c r="D197" s="17"/>
      <c r="E197" s="17" t="str">
        <f>IF(D197="","",IFERROR(VLOOKUP(D197,COA!A:B,2,FALSE),"-"))</f>
        <v/>
      </c>
      <c r="F197" s="17"/>
      <c r="G197" s="17" t="str">
        <f>IF(F197="","",IFERROR(VLOOKUP(F197,COA!A:B,2,FALSE),"-"))</f>
        <v/>
      </c>
      <c r="H197" s="20"/>
      <c r="I197" s="20"/>
      <c r="J197" s="20"/>
      <c r="K197" s="20" t="str">
        <f t="shared" si="1"/>
        <v/>
      </c>
    </row>
    <row r="198">
      <c r="A198" s="43"/>
      <c r="C198" s="17"/>
      <c r="D198" s="17"/>
      <c r="E198" s="17" t="str">
        <f>IF(D198="","",IFERROR(VLOOKUP(D198,COA!A:B,2,FALSE),"-"))</f>
        <v/>
      </c>
      <c r="F198" s="17"/>
      <c r="G198" s="17" t="str">
        <f>IF(F198="","",IFERROR(VLOOKUP(F198,COA!A:B,2,FALSE),"-"))</f>
        <v/>
      </c>
      <c r="H198" s="20"/>
      <c r="I198" s="20"/>
      <c r="J198" s="20"/>
      <c r="K198" s="20" t="str">
        <f t="shared" si="1"/>
        <v/>
      </c>
    </row>
    <row r="199">
      <c r="A199" s="43"/>
      <c r="C199" s="17"/>
      <c r="D199" s="17"/>
      <c r="E199" s="17" t="str">
        <f>IF(D199="","",IFERROR(VLOOKUP(D199,COA!A:B,2,FALSE),"-"))</f>
        <v/>
      </c>
      <c r="F199" s="17"/>
      <c r="G199" s="17" t="str">
        <f>IF(F199="","",IFERROR(VLOOKUP(F199,COA!A:B,2,FALSE),"-"))</f>
        <v/>
      </c>
      <c r="H199" s="20"/>
      <c r="I199" s="20"/>
      <c r="J199" s="20"/>
      <c r="K199" s="20" t="str">
        <f t="shared" si="1"/>
        <v/>
      </c>
    </row>
    <row r="200">
      <c r="A200" s="43"/>
      <c r="C200" s="17"/>
      <c r="D200" s="17"/>
      <c r="E200" s="17" t="str">
        <f>IF(D200="","",IFERROR(VLOOKUP(D200,COA!A:B,2,FALSE),"-"))</f>
        <v/>
      </c>
      <c r="F200" s="17"/>
      <c r="G200" s="17" t="str">
        <f>IF(F200="","",IFERROR(VLOOKUP(F200,COA!A:B,2,FALSE),"-"))</f>
        <v/>
      </c>
      <c r="H200" s="20"/>
      <c r="I200" s="20"/>
      <c r="J200" s="20"/>
      <c r="K200" s="20" t="str">
        <f t="shared" si="1"/>
        <v/>
      </c>
    </row>
    <row r="201">
      <c r="A201" s="43"/>
      <c r="C201" s="17"/>
      <c r="D201" s="17"/>
      <c r="E201" s="17" t="str">
        <f>IF(D201="","",IFERROR(VLOOKUP(D201,COA!A:B,2,FALSE),"-"))</f>
        <v/>
      </c>
      <c r="F201" s="17"/>
      <c r="G201" s="17" t="str">
        <f>IF(F201="","",IFERROR(VLOOKUP(F201,COA!A:B,2,FALSE),"-"))</f>
        <v/>
      </c>
      <c r="H201" s="20"/>
      <c r="I201" s="20"/>
      <c r="J201" s="20"/>
      <c r="K201" s="20" t="str">
        <f t="shared" si="1"/>
        <v/>
      </c>
    </row>
    <row r="202">
      <c r="A202" s="43"/>
      <c r="C202" s="17"/>
      <c r="D202" s="17"/>
      <c r="E202" s="17" t="str">
        <f>IF(D202="","",IFERROR(VLOOKUP(D202,COA!A:B,2,FALSE),"-"))</f>
        <v/>
      </c>
      <c r="F202" s="17"/>
      <c r="G202" s="17" t="str">
        <f>IF(F202="","",IFERROR(VLOOKUP(F202,COA!A:B,2,FALSE),"-"))</f>
        <v/>
      </c>
      <c r="H202" s="20"/>
      <c r="I202" s="20"/>
      <c r="J202" s="20"/>
      <c r="K202" s="20" t="str">
        <f t="shared" si="1"/>
        <v/>
      </c>
    </row>
    <row r="203">
      <c r="A203" s="43"/>
      <c r="C203" s="17"/>
      <c r="D203" s="17"/>
      <c r="E203" s="17" t="str">
        <f>IF(D203="","",IFERROR(VLOOKUP(D203,COA!A:B,2,FALSE),"-"))</f>
        <v/>
      </c>
      <c r="F203" s="17"/>
      <c r="G203" s="17" t="str">
        <f>IF(F203="","",IFERROR(VLOOKUP(F203,COA!A:B,2,FALSE),"-"))</f>
        <v/>
      </c>
      <c r="H203" s="20"/>
      <c r="I203" s="20"/>
      <c r="J203" s="20"/>
      <c r="K203" s="20" t="str">
        <f t="shared" si="1"/>
        <v/>
      </c>
    </row>
    <row r="204">
      <c r="A204" s="43"/>
      <c r="C204" s="17"/>
      <c r="D204" s="17"/>
      <c r="E204" s="17" t="str">
        <f>IF(D204="","",IFERROR(VLOOKUP(D204,COA!A:B,2,FALSE),"-"))</f>
        <v/>
      </c>
      <c r="F204" s="17"/>
      <c r="G204" s="17" t="str">
        <f>IF(F204="","",IFERROR(VLOOKUP(F204,COA!A:B,2,FALSE),"-"))</f>
        <v/>
      </c>
      <c r="H204" s="20"/>
      <c r="I204" s="20"/>
      <c r="J204" s="20"/>
      <c r="K204" s="20" t="str">
        <f t="shared" si="1"/>
        <v/>
      </c>
    </row>
    <row r="205">
      <c r="A205" s="43"/>
      <c r="C205" s="17"/>
      <c r="D205" s="17"/>
      <c r="E205" s="17" t="str">
        <f>IF(D205="","",IFERROR(VLOOKUP(D205,COA!A:B,2,FALSE),"-"))</f>
        <v/>
      </c>
      <c r="F205" s="17"/>
      <c r="G205" s="17" t="str">
        <f>IF(F205="","",IFERROR(VLOOKUP(F205,COA!A:B,2,FALSE),"-"))</f>
        <v/>
      </c>
      <c r="H205" s="20"/>
      <c r="I205" s="20"/>
      <c r="J205" s="20"/>
      <c r="K205" s="20" t="str">
        <f t="shared" si="1"/>
        <v/>
      </c>
    </row>
    <row r="206">
      <c r="A206" s="43"/>
      <c r="C206" s="17"/>
      <c r="D206" s="17"/>
      <c r="E206" s="17" t="str">
        <f>IF(D206="","",IFERROR(VLOOKUP(D206,COA!A:B,2,FALSE),"-"))</f>
        <v/>
      </c>
      <c r="F206" s="17"/>
      <c r="G206" s="17" t="str">
        <f>IF(F206="","",IFERROR(VLOOKUP(F206,COA!A:B,2,FALSE),"-"))</f>
        <v/>
      </c>
      <c r="H206" s="20"/>
      <c r="I206" s="20"/>
      <c r="J206" s="20"/>
      <c r="K206" s="20" t="str">
        <f t="shared" si="1"/>
        <v/>
      </c>
    </row>
    <row r="207">
      <c r="A207" s="43"/>
      <c r="C207" s="17"/>
      <c r="D207" s="17"/>
      <c r="E207" s="17" t="str">
        <f>IF(D207="","",IFERROR(VLOOKUP(D207,COA!A:B,2,FALSE),"-"))</f>
        <v/>
      </c>
      <c r="F207" s="17"/>
      <c r="G207" s="17" t="str">
        <f>IF(F207="","",IFERROR(VLOOKUP(F207,COA!A:B,2,FALSE),"-"))</f>
        <v/>
      </c>
      <c r="H207" s="20"/>
      <c r="I207" s="20"/>
      <c r="J207" s="20"/>
      <c r="K207" s="20" t="str">
        <f t="shared" si="1"/>
        <v/>
      </c>
    </row>
    <row r="208">
      <c r="A208" s="43"/>
      <c r="C208" s="17"/>
      <c r="D208" s="17"/>
      <c r="E208" s="17" t="str">
        <f>IF(D208="","",IFERROR(VLOOKUP(D208,COA!A:B,2,FALSE),"-"))</f>
        <v/>
      </c>
      <c r="F208" s="17"/>
      <c r="G208" s="17" t="str">
        <f>IF(F208="","",IFERROR(VLOOKUP(F208,COA!A:B,2,FALSE),"-"))</f>
        <v/>
      </c>
      <c r="H208" s="20"/>
      <c r="I208" s="20"/>
      <c r="J208" s="20"/>
      <c r="K208" s="20" t="str">
        <f t="shared" si="1"/>
        <v/>
      </c>
    </row>
    <row r="209">
      <c r="A209" s="43"/>
      <c r="C209" s="17"/>
      <c r="D209" s="17"/>
      <c r="E209" s="17" t="str">
        <f>IF(D209="","",IFERROR(VLOOKUP(D209,COA!A:B,2,FALSE),"-"))</f>
        <v/>
      </c>
      <c r="F209" s="17"/>
      <c r="G209" s="17" t="str">
        <f>IF(F209="","",IFERROR(VLOOKUP(F209,COA!A:B,2,FALSE),"-"))</f>
        <v/>
      </c>
      <c r="H209" s="20"/>
      <c r="I209" s="20"/>
      <c r="J209" s="20"/>
      <c r="K209" s="20" t="str">
        <f t="shared" si="1"/>
        <v/>
      </c>
    </row>
    <row r="210">
      <c r="A210" s="43"/>
      <c r="C210" s="17"/>
      <c r="D210" s="17"/>
      <c r="E210" s="17" t="str">
        <f>IF(D210="","",IFERROR(VLOOKUP(D210,COA!A:B,2,FALSE),"-"))</f>
        <v/>
      </c>
      <c r="F210" s="17"/>
      <c r="G210" s="17" t="str">
        <f>IF(F210="","",IFERROR(VLOOKUP(F210,COA!A:B,2,FALSE),"-"))</f>
        <v/>
      </c>
      <c r="H210" s="20"/>
      <c r="I210" s="20"/>
      <c r="J210" s="20"/>
      <c r="K210" s="20" t="str">
        <f t="shared" si="1"/>
        <v/>
      </c>
    </row>
    <row r="211">
      <c r="A211" s="43"/>
      <c r="C211" s="17"/>
      <c r="D211" s="17"/>
      <c r="E211" s="17" t="str">
        <f>IF(D211="","",IFERROR(VLOOKUP(D211,COA!A:B,2,FALSE),"-"))</f>
        <v/>
      </c>
      <c r="F211" s="17"/>
      <c r="G211" s="17" t="str">
        <f>IF(F211="","",IFERROR(VLOOKUP(F211,COA!A:B,2,FALSE),"-"))</f>
        <v/>
      </c>
      <c r="H211" s="20"/>
      <c r="I211" s="20"/>
      <c r="J211" s="20"/>
      <c r="K211" s="20" t="str">
        <f t="shared" si="1"/>
        <v/>
      </c>
    </row>
    <row r="212">
      <c r="A212" s="43"/>
      <c r="C212" s="17"/>
      <c r="D212" s="17"/>
      <c r="E212" s="17" t="str">
        <f>IF(D212="","",IFERROR(VLOOKUP(D212,COA!A:B,2,FALSE),"-"))</f>
        <v/>
      </c>
      <c r="F212" s="17"/>
      <c r="G212" s="17" t="str">
        <f>IF(F212="","",IFERROR(VLOOKUP(F212,COA!A:B,2,FALSE),"-"))</f>
        <v/>
      </c>
      <c r="H212" s="20"/>
      <c r="I212" s="20"/>
      <c r="J212" s="20"/>
      <c r="K212" s="20" t="str">
        <f t="shared" si="1"/>
        <v/>
      </c>
    </row>
    <row r="213">
      <c r="A213" s="43"/>
      <c r="C213" s="17"/>
      <c r="D213" s="17"/>
      <c r="E213" s="17" t="str">
        <f>IF(D213="","",IFERROR(VLOOKUP(D213,COA!A:B,2,FALSE),"-"))</f>
        <v/>
      </c>
      <c r="F213" s="17"/>
      <c r="G213" s="17" t="str">
        <f>IF(F213="","",IFERROR(VLOOKUP(F213,COA!A:B,2,FALSE),"-"))</f>
        <v/>
      </c>
      <c r="H213" s="20"/>
      <c r="I213" s="20"/>
      <c r="J213" s="20"/>
      <c r="K213" s="20" t="str">
        <f t="shared" si="1"/>
        <v/>
      </c>
    </row>
    <row r="214">
      <c r="A214" s="43"/>
      <c r="C214" s="17"/>
      <c r="D214" s="17"/>
      <c r="E214" s="17" t="str">
        <f>IF(D214="","",IFERROR(VLOOKUP(D214,COA!A:B,2,FALSE),"-"))</f>
        <v/>
      </c>
      <c r="F214" s="17"/>
      <c r="G214" s="17" t="str">
        <f>IF(F214="","",IFERROR(VLOOKUP(F214,COA!A:B,2,FALSE),"-"))</f>
        <v/>
      </c>
      <c r="H214" s="20"/>
      <c r="I214" s="20"/>
      <c r="J214" s="20"/>
      <c r="K214" s="20" t="str">
        <f t="shared" si="1"/>
        <v/>
      </c>
    </row>
    <row r="215">
      <c r="A215" s="43"/>
      <c r="C215" s="17"/>
      <c r="D215" s="17"/>
      <c r="E215" s="17" t="str">
        <f>IF(D215="","",IFERROR(VLOOKUP(D215,COA!A:B,2,FALSE),"-"))</f>
        <v/>
      </c>
      <c r="F215" s="17"/>
      <c r="G215" s="17" t="str">
        <f>IF(F215="","",IFERROR(VLOOKUP(F215,COA!A:B,2,FALSE),"-"))</f>
        <v/>
      </c>
      <c r="H215" s="20"/>
      <c r="I215" s="20"/>
      <c r="J215" s="20"/>
      <c r="K215" s="20" t="str">
        <f t="shared" si="1"/>
        <v/>
      </c>
    </row>
    <row r="216">
      <c r="A216" s="43"/>
      <c r="C216" s="17"/>
      <c r="D216" s="17"/>
      <c r="E216" s="17" t="str">
        <f>IF(D216="","",IFERROR(VLOOKUP(D216,COA!A:B,2,FALSE),"-"))</f>
        <v/>
      </c>
      <c r="F216" s="17"/>
      <c r="G216" s="17" t="str">
        <f>IF(F216="","",IFERROR(VLOOKUP(F216,COA!A:B,2,FALSE),"-"))</f>
        <v/>
      </c>
      <c r="H216" s="20"/>
      <c r="I216" s="20"/>
      <c r="J216" s="20"/>
      <c r="K216" s="20" t="str">
        <f t="shared" si="1"/>
        <v/>
      </c>
    </row>
    <row r="217">
      <c r="A217" s="43"/>
      <c r="C217" s="17"/>
      <c r="D217" s="17"/>
      <c r="E217" s="17" t="str">
        <f>IF(D217="","",IFERROR(VLOOKUP(D217,COA!A:B,2,FALSE),"-"))</f>
        <v/>
      </c>
      <c r="F217" s="17"/>
      <c r="G217" s="17" t="str">
        <f>IF(F217="","",IFERROR(VLOOKUP(F217,COA!A:B,2,FALSE),"-"))</f>
        <v/>
      </c>
      <c r="H217" s="20"/>
      <c r="I217" s="20"/>
      <c r="J217" s="20"/>
      <c r="K217" s="20" t="str">
        <f t="shared" si="1"/>
        <v/>
      </c>
    </row>
    <row r="218">
      <c r="A218" s="43"/>
      <c r="C218" s="17"/>
      <c r="D218" s="17"/>
      <c r="E218" s="17" t="str">
        <f>IF(D218="","",IFERROR(VLOOKUP(D218,COA!A:B,2,FALSE),"-"))</f>
        <v/>
      </c>
      <c r="F218" s="17"/>
      <c r="G218" s="17" t="str">
        <f>IF(F218="","",IFERROR(VLOOKUP(F218,COA!A:B,2,FALSE),"-"))</f>
        <v/>
      </c>
      <c r="H218" s="20"/>
      <c r="I218" s="20"/>
      <c r="J218" s="20"/>
      <c r="K218" s="20" t="str">
        <f t="shared" si="1"/>
        <v/>
      </c>
    </row>
    <row r="219">
      <c r="A219" s="43"/>
      <c r="C219" s="17"/>
      <c r="D219" s="17"/>
      <c r="E219" s="17" t="str">
        <f>IF(D219="","",IFERROR(VLOOKUP(D219,COA!A:B,2,FALSE),"-"))</f>
        <v/>
      </c>
      <c r="F219" s="17"/>
      <c r="G219" s="17" t="str">
        <f>IF(F219="","",IFERROR(VLOOKUP(F219,COA!A:B,2,FALSE),"-"))</f>
        <v/>
      </c>
      <c r="H219" s="20"/>
      <c r="I219" s="20"/>
      <c r="J219" s="20"/>
      <c r="K219" s="20" t="str">
        <f t="shared" si="1"/>
        <v/>
      </c>
    </row>
    <row r="220">
      <c r="A220" s="43"/>
      <c r="C220" s="17"/>
      <c r="D220" s="17"/>
      <c r="E220" s="17" t="str">
        <f>IF(D220="","",IFERROR(VLOOKUP(D220,COA!A:B,2,FALSE),"-"))</f>
        <v/>
      </c>
      <c r="F220" s="17"/>
      <c r="G220" s="17" t="str">
        <f>IF(F220="","",IFERROR(VLOOKUP(F220,COA!A:B,2,FALSE),"-"))</f>
        <v/>
      </c>
      <c r="H220" s="20"/>
      <c r="I220" s="20"/>
      <c r="J220" s="20"/>
      <c r="K220" s="20" t="str">
        <f t="shared" si="1"/>
        <v/>
      </c>
    </row>
    <row r="221">
      <c r="A221" s="43"/>
      <c r="C221" s="17"/>
      <c r="D221" s="17"/>
      <c r="E221" s="17" t="str">
        <f>IF(D221="","",IFERROR(VLOOKUP(D221,COA!A:B,2,FALSE),"-"))</f>
        <v/>
      </c>
      <c r="F221" s="17"/>
      <c r="G221" s="17" t="str">
        <f>IF(F221="","",IFERROR(VLOOKUP(F221,COA!A:B,2,FALSE),"-"))</f>
        <v/>
      </c>
      <c r="H221" s="20"/>
      <c r="I221" s="20"/>
      <c r="J221" s="20"/>
      <c r="K221" s="20" t="str">
        <f t="shared" si="1"/>
        <v/>
      </c>
    </row>
    <row r="222">
      <c r="A222" s="43"/>
      <c r="C222" s="17"/>
      <c r="D222" s="17"/>
      <c r="E222" s="17" t="str">
        <f>IF(D222="","",IFERROR(VLOOKUP(D222,COA!A:B,2,FALSE),"-"))</f>
        <v/>
      </c>
      <c r="F222" s="17"/>
      <c r="G222" s="17" t="str">
        <f>IF(F222="","",IFERROR(VLOOKUP(F222,COA!A:B,2,FALSE),"-"))</f>
        <v/>
      </c>
      <c r="H222" s="20"/>
      <c r="I222" s="20"/>
      <c r="J222" s="20"/>
      <c r="K222" s="20" t="str">
        <f t="shared" si="1"/>
        <v/>
      </c>
    </row>
    <row r="223">
      <c r="A223" s="43"/>
      <c r="C223" s="17"/>
      <c r="D223" s="17"/>
      <c r="E223" s="17" t="str">
        <f>IF(D223="","",IFERROR(VLOOKUP(D223,COA!A:B,2,FALSE),"-"))</f>
        <v/>
      </c>
      <c r="F223" s="17"/>
      <c r="G223" s="17" t="str">
        <f>IF(F223="","",IFERROR(VLOOKUP(F223,COA!A:B,2,FALSE),"-"))</f>
        <v/>
      </c>
      <c r="H223" s="20"/>
      <c r="I223" s="20"/>
      <c r="J223" s="20"/>
      <c r="K223" s="20" t="str">
        <f t="shared" si="1"/>
        <v/>
      </c>
    </row>
    <row r="224">
      <c r="A224" s="43"/>
      <c r="C224" s="17"/>
      <c r="D224" s="17"/>
      <c r="E224" s="17" t="str">
        <f>IF(D224="","",IFERROR(VLOOKUP(D224,COA!A:B,2,FALSE),"-"))</f>
        <v/>
      </c>
      <c r="F224" s="17"/>
      <c r="G224" s="17" t="str">
        <f>IF(F224="","",IFERROR(VLOOKUP(F224,COA!A:B,2,FALSE),"-"))</f>
        <v/>
      </c>
      <c r="H224" s="20"/>
      <c r="I224" s="20"/>
      <c r="J224" s="20"/>
      <c r="K224" s="20" t="str">
        <f t="shared" si="1"/>
        <v/>
      </c>
    </row>
    <row r="225">
      <c r="A225" s="43"/>
      <c r="C225" s="17"/>
      <c r="D225" s="17"/>
      <c r="E225" s="17" t="str">
        <f>IF(D225="","",IFERROR(VLOOKUP(D225,COA!A:B,2,FALSE),"-"))</f>
        <v/>
      </c>
      <c r="F225" s="17"/>
      <c r="G225" s="17" t="str">
        <f>IF(F225="","",IFERROR(VLOOKUP(F225,COA!A:B,2,FALSE),"-"))</f>
        <v/>
      </c>
      <c r="H225" s="20"/>
      <c r="I225" s="20"/>
      <c r="J225" s="20"/>
      <c r="K225" s="20" t="str">
        <f t="shared" si="1"/>
        <v/>
      </c>
    </row>
    <row r="226">
      <c r="A226" s="43"/>
      <c r="C226" s="17"/>
      <c r="D226" s="17"/>
      <c r="E226" s="17" t="str">
        <f>IF(D226="","",IFERROR(VLOOKUP(D226,COA!A:B,2,FALSE),"-"))</f>
        <v/>
      </c>
      <c r="F226" s="17"/>
      <c r="G226" s="17" t="str">
        <f>IF(F226="","",IFERROR(VLOOKUP(F226,COA!A:B,2,FALSE),"-"))</f>
        <v/>
      </c>
      <c r="H226" s="20"/>
      <c r="I226" s="20"/>
      <c r="J226" s="20"/>
      <c r="K226" s="20" t="str">
        <f t="shared" si="1"/>
        <v/>
      </c>
    </row>
    <row r="227">
      <c r="A227" s="43"/>
      <c r="C227" s="17"/>
      <c r="D227" s="17"/>
      <c r="E227" s="17" t="str">
        <f>IF(D227="","",IFERROR(VLOOKUP(D227,COA!A:B,2,FALSE),"-"))</f>
        <v/>
      </c>
      <c r="F227" s="17"/>
      <c r="G227" s="17" t="str">
        <f>IF(F227="","",IFERROR(VLOOKUP(F227,COA!A:B,2,FALSE),"-"))</f>
        <v/>
      </c>
      <c r="H227" s="20"/>
      <c r="I227" s="20"/>
      <c r="J227" s="20"/>
      <c r="K227" s="20" t="str">
        <f t="shared" si="1"/>
        <v/>
      </c>
    </row>
    <row r="228">
      <c r="A228" s="43"/>
      <c r="C228" s="17"/>
      <c r="D228" s="17"/>
      <c r="E228" s="17" t="str">
        <f>IF(D228="","",IFERROR(VLOOKUP(D228,COA!A:B,2,FALSE),"-"))</f>
        <v/>
      </c>
      <c r="F228" s="17"/>
      <c r="G228" s="17" t="str">
        <f>IF(F228="","",IFERROR(VLOOKUP(F228,COA!A:B,2,FALSE),"-"))</f>
        <v/>
      </c>
      <c r="H228" s="20"/>
      <c r="I228" s="20"/>
      <c r="J228" s="20"/>
      <c r="K228" s="20" t="str">
        <f t="shared" si="1"/>
        <v/>
      </c>
    </row>
    <row r="229">
      <c r="A229" s="43"/>
      <c r="C229" s="17"/>
      <c r="D229" s="17"/>
      <c r="E229" s="17" t="str">
        <f>IF(D229="","",IFERROR(VLOOKUP(D229,COA!A:B,2,FALSE),"-"))</f>
        <v/>
      </c>
      <c r="F229" s="17"/>
      <c r="G229" s="17" t="str">
        <f>IF(F229="","",IFERROR(VLOOKUP(F229,COA!A:B,2,FALSE),"-"))</f>
        <v/>
      </c>
      <c r="H229" s="20"/>
      <c r="I229" s="20"/>
      <c r="J229" s="20"/>
      <c r="K229" s="20" t="str">
        <f t="shared" si="1"/>
        <v/>
      </c>
    </row>
    <row r="230">
      <c r="A230" s="43"/>
      <c r="C230" s="17"/>
      <c r="D230" s="17"/>
      <c r="E230" s="17" t="str">
        <f>IF(D230="","",IFERROR(VLOOKUP(D230,COA!A:B,2,FALSE),"-"))</f>
        <v/>
      </c>
      <c r="F230" s="17"/>
      <c r="G230" s="17" t="str">
        <f>IF(F230="","",IFERROR(VLOOKUP(F230,COA!A:B,2,FALSE),"-"))</f>
        <v/>
      </c>
      <c r="H230" s="20"/>
      <c r="I230" s="20"/>
      <c r="J230" s="20"/>
      <c r="K230" s="20" t="str">
        <f t="shared" si="1"/>
        <v/>
      </c>
    </row>
    <row r="231">
      <c r="A231" s="43"/>
      <c r="C231" s="17"/>
      <c r="D231" s="17"/>
      <c r="E231" s="17" t="str">
        <f>IF(D231="","",IFERROR(VLOOKUP(D231,COA!A:B,2,FALSE),"-"))</f>
        <v/>
      </c>
      <c r="F231" s="17"/>
      <c r="G231" s="17" t="str">
        <f>IF(F231="","",IFERROR(VLOOKUP(F231,COA!A:B,2,FALSE),"-"))</f>
        <v/>
      </c>
      <c r="H231" s="20"/>
      <c r="I231" s="20"/>
      <c r="J231" s="20"/>
      <c r="K231" s="20" t="str">
        <f t="shared" si="1"/>
        <v/>
      </c>
    </row>
    <row r="232">
      <c r="A232" s="43"/>
      <c r="C232" s="17"/>
      <c r="D232" s="17"/>
      <c r="E232" s="17" t="str">
        <f>IF(D232="","",IFERROR(VLOOKUP(D232,COA!A:B,2,FALSE),"-"))</f>
        <v/>
      </c>
      <c r="F232" s="17"/>
      <c r="G232" s="17" t="str">
        <f>IF(F232="","",IFERROR(VLOOKUP(F232,COA!A:B,2,FALSE),"-"))</f>
        <v/>
      </c>
      <c r="H232" s="20"/>
      <c r="I232" s="20"/>
      <c r="J232" s="20"/>
      <c r="K232" s="20" t="str">
        <f t="shared" si="1"/>
        <v/>
      </c>
    </row>
    <row r="233">
      <c r="A233" s="43"/>
      <c r="C233" s="17"/>
      <c r="D233" s="17"/>
      <c r="E233" s="17" t="str">
        <f>IF(D233="","",IFERROR(VLOOKUP(D233,COA!A:B,2,FALSE),"-"))</f>
        <v/>
      </c>
      <c r="F233" s="17"/>
      <c r="G233" s="17" t="str">
        <f>IF(F233="","",IFERROR(VLOOKUP(F233,COA!A:B,2,FALSE),"-"))</f>
        <v/>
      </c>
      <c r="H233" s="20"/>
      <c r="I233" s="20"/>
      <c r="J233" s="20"/>
      <c r="K233" s="20" t="str">
        <f t="shared" si="1"/>
        <v/>
      </c>
    </row>
    <row r="234">
      <c r="A234" s="43"/>
      <c r="C234" s="17"/>
      <c r="D234" s="17"/>
      <c r="E234" s="17" t="str">
        <f>IF(D234="","",IFERROR(VLOOKUP(D234,COA!A:B,2,FALSE),"-"))</f>
        <v/>
      </c>
      <c r="F234" s="17"/>
      <c r="G234" s="17" t="str">
        <f>IF(F234="","",IFERROR(VLOOKUP(F234,COA!A:B,2,FALSE),"-"))</f>
        <v/>
      </c>
      <c r="H234" s="20"/>
      <c r="I234" s="20"/>
      <c r="J234" s="20"/>
      <c r="K234" s="20" t="str">
        <f t="shared" si="1"/>
        <v/>
      </c>
    </row>
    <row r="235">
      <c r="A235" s="43"/>
      <c r="C235" s="17"/>
      <c r="D235" s="17"/>
      <c r="E235" s="17" t="str">
        <f>IF(D235="","",IFERROR(VLOOKUP(D235,COA!A:B,2,FALSE),"-"))</f>
        <v/>
      </c>
      <c r="F235" s="17"/>
      <c r="G235" s="17" t="str">
        <f>IF(F235="","",IFERROR(VLOOKUP(F235,COA!A:B,2,FALSE),"-"))</f>
        <v/>
      </c>
      <c r="H235" s="20"/>
      <c r="I235" s="20"/>
      <c r="J235" s="20"/>
      <c r="K235" s="20" t="str">
        <f t="shared" si="1"/>
        <v/>
      </c>
    </row>
    <row r="236">
      <c r="A236" s="43"/>
      <c r="C236" s="17"/>
      <c r="D236" s="17"/>
      <c r="E236" s="17" t="str">
        <f>IF(D236="","",IFERROR(VLOOKUP(D236,COA!A:B,2,FALSE),"-"))</f>
        <v/>
      </c>
      <c r="F236" s="17"/>
      <c r="G236" s="17" t="str">
        <f>IF(F236="","",IFERROR(VLOOKUP(F236,COA!A:B,2,FALSE),"-"))</f>
        <v/>
      </c>
      <c r="H236" s="20"/>
      <c r="I236" s="20"/>
      <c r="J236" s="20"/>
      <c r="K236" s="20" t="str">
        <f t="shared" si="1"/>
        <v/>
      </c>
    </row>
    <row r="237">
      <c r="A237" s="43"/>
      <c r="C237" s="17"/>
      <c r="D237" s="17"/>
      <c r="E237" s="17" t="str">
        <f>IF(D237="","",IFERROR(VLOOKUP(D237,COA!A:B,2,FALSE),"-"))</f>
        <v/>
      </c>
      <c r="F237" s="17"/>
      <c r="G237" s="17" t="str">
        <f>IF(F237="","",IFERROR(VLOOKUP(F237,COA!A:B,2,FALSE),"-"))</f>
        <v/>
      </c>
      <c r="H237" s="20"/>
      <c r="I237" s="20"/>
      <c r="J237" s="20"/>
      <c r="K237" s="20" t="str">
        <f t="shared" si="1"/>
        <v/>
      </c>
    </row>
    <row r="238">
      <c r="A238" s="43"/>
      <c r="C238" s="17"/>
      <c r="D238" s="17"/>
      <c r="E238" s="17" t="str">
        <f>IF(D238="","",IFERROR(VLOOKUP(D238,COA!A:B,2,FALSE),"-"))</f>
        <v/>
      </c>
      <c r="F238" s="17"/>
      <c r="G238" s="17" t="str">
        <f>IF(F238="","",IFERROR(VLOOKUP(F238,COA!A:B,2,FALSE),"-"))</f>
        <v/>
      </c>
      <c r="H238" s="20"/>
      <c r="I238" s="20"/>
      <c r="J238" s="20"/>
      <c r="K238" s="20" t="str">
        <f t="shared" si="1"/>
        <v/>
      </c>
    </row>
    <row r="239">
      <c r="A239" s="43"/>
      <c r="C239" s="17"/>
      <c r="D239" s="17"/>
      <c r="E239" s="17" t="str">
        <f>IF(D239="","",IFERROR(VLOOKUP(D239,COA!A:B,2,FALSE),"-"))</f>
        <v/>
      </c>
      <c r="F239" s="17"/>
      <c r="G239" s="17" t="str">
        <f>IF(F239="","",IFERROR(VLOOKUP(F239,COA!A:B,2,FALSE),"-"))</f>
        <v/>
      </c>
      <c r="H239" s="20"/>
      <c r="I239" s="20"/>
      <c r="J239" s="20"/>
      <c r="K239" s="20" t="str">
        <f t="shared" si="1"/>
        <v/>
      </c>
    </row>
    <row r="240">
      <c r="A240" s="43"/>
      <c r="C240" s="17"/>
      <c r="D240" s="17"/>
      <c r="E240" s="17" t="str">
        <f>IF(D240="","",IFERROR(VLOOKUP(D240,COA!A:B,2,FALSE),"-"))</f>
        <v/>
      </c>
      <c r="F240" s="17"/>
      <c r="G240" s="17" t="str">
        <f>IF(F240="","",IFERROR(VLOOKUP(F240,COA!A:B,2,FALSE),"-"))</f>
        <v/>
      </c>
      <c r="H240" s="20"/>
      <c r="I240" s="20"/>
      <c r="J240" s="20"/>
      <c r="K240" s="20" t="str">
        <f t="shared" si="1"/>
        <v/>
      </c>
    </row>
    <row r="241">
      <c r="A241" s="43"/>
      <c r="C241" s="17"/>
      <c r="D241" s="17"/>
      <c r="E241" s="17" t="str">
        <f>IF(D241="","",IFERROR(VLOOKUP(D241,COA!A:B,2,FALSE),"-"))</f>
        <v/>
      </c>
      <c r="F241" s="17"/>
      <c r="G241" s="17" t="str">
        <f>IF(F241="","",IFERROR(VLOOKUP(F241,COA!A:B,2,FALSE),"-"))</f>
        <v/>
      </c>
      <c r="H241" s="20"/>
      <c r="I241" s="20"/>
      <c r="J241" s="20"/>
      <c r="K241" s="20" t="str">
        <f t="shared" si="1"/>
        <v/>
      </c>
    </row>
    <row r="242">
      <c r="A242" s="43"/>
      <c r="C242" s="17"/>
      <c r="D242" s="17"/>
      <c r="E242" s="17" t="str">
        <f>IF(D242="","",IFERROR(VLOOKUP(D242,COA!A:B,2,FALSE),"-"))</f>
        <v/>
      </c>
      <c r="F242" s="17"/>
      <c r="G242" s="17" t="str">
        <f>IF(F242="","",IFERROR(VLOOKUP(F242,COA!A:B,2,FALSE),"-"))</f>
        <v/>
      </c>
      <c r="H242" s="20"/>
      <c r="I242" s="20"/>
      <c r="J242" s="20"/>
      <c r="K242" s="20" t="str">
        <f t="shared" si="1"/>
        <v/>
      </c>
    </row>
    <row r="243">
      <c r="A243" s="43"/>
      <c r="C243" s="17"/>
      <c r="D243" s="17"/>
      <c r="E243" s="17" t="str">
        <f>IF(D243="","",IFERROR(VLOOKUP(D243,COA!A:B,2,FALSE),"-"))</f>
        <v/>
      </c>
      <c r="F243" s="17"/>
      <c r="G243" s="17" t="str">
        <f>IF(F243="","",IFERROR(VLOOKUP(F243,COA!A:B,2,FALSE),"-"))</f>
        <v/>
      </c>
      <c r="H243" s="20"/>
      <c r="I243" s="20"/>
      <c r="J243" s="20"/>
      <c r="K243" s="20" t="str">
        <f t="shared" si="1"/>
        <v/>
      </c>
    </row>
    <row r="244">
      <c r="A244" s="43"/>
      <c r="C244" s="17"/>
      <c r="D244" s="17"/>
      <c r="E244" s="17" t="str">
        <f>IF(D244="","",IFERROR(VLOOKUP(D244,COA!A:B,2,FALSE),"-"))</f>
        <v/>
      </c>
      <c r="F244" s="17"/>
      <c r="G244" s="17" t="str">
        <f>IF(F244="","",IFERROR(VLOOKUP(F244,COA!A:B,2,FALSE),"-"))</f>
        <v/>
      </c>
      <c r="H244" s="20"/>
      <c r="I244" s="20"/>
      <c r="J244" s="20"/>
      <c r="K244" s="20" t="str">
        <f t="shared" si="1"/>
        <v/>
      </c>
    </row>
    <row r="245">
      <c r="A245" s="43"/>
      <c r="C245" s="17"/>
      <c r="D245" s="17"/>
      <c r="E245" s="17" t="str">
        <f>IF(D245="","",IFERROR(VLOOKUP(D245,COA!A:B,2,FALSE),"-"))</f>
        <v/>
      </c>
      <c r="F245" s="17"/>
      <c r="G245" s="17" t="str">
        <f>IF(F245="","",IFERROR(VLOOKUP(F245,COA!A:B,2,FALSE),"-"))</f>
        <v/>
      </c>
      <c r="H245" s="20"/>
      <c r="I245" s="20"/>
      <c r="J245" s="20"/>
      <c r="K245" s="20" t="str">
        <f t="shared" si="1"/>
        <v/>
      </c>
    </row>
    <row r="246">
      <c r="A246" s="43"/>
      <c r="C246" s="17"/>
      <c r="D246" s="17"/>
      <c r="E246" s="17" t="str">
        <f>IF(D246="","",IFERROR(VLOOKUP(D246,COA!A:B,2,FALSE),"-"))</f>
        <v/>
      </c>
      <c r="F246" s="17"/>
      <c r="G246" s="17" t="str">
        <f>IF(F246="","",IFERROR(VLOOKUP(F246,COA!A:B,2,FALSE),"-"))</f>
        <v/>
      </c>
      <c r="H246" s="20"/>
      <c r="I246" s="20"/>
      <c r="J246" s="20"/>
      <c r="K246" s="20" t="str">
        <f t="shared" si="1"/>
        <v/>
      </c>
    </row>
    <row r="247">
      <c r="A247" s="43"/>
      <c r="C247" s="17"/>
      <c r="D247" s="17"/>
      <c r="E247" s="17" t="str">
        <f>IF(D247="","",IFERROR(VLOOKUP(D247,COA!A:B,2,FALSE),"-"))</f>
        <v/>
      </c>
      <c r="F247" s="17"/>
      <c r="G247" s="17" t="str">
        <f>IF(F247="","",IFERROR(VLOOKUP(F247,COA!A:B,2,FALSE),"-"))</f>
        <v/>
      </c>
      <c r="H247" s="20"/>
      <c r="I247" s="20"/>
      <c r="J247" s="20"/>
      <c r="K247" s="20" t="str">
        <f t="shared" si="1"/>
        <v/>
      </c>
    </row>
    <row r="248">
      <c r="A248" s="43"/>
      <c r="C248" s="17"/>
      <c r="D248" s="17"/>
      <c r="E248" s="17" t="str">
        <f>IF(D248="","",IFERROR(VLOOKUP(D248,COA!A:B,2,FALSE),"-"))</f>
        <v/>
      </c>
      <c r="F248" s="17"/>
      <c r="G248" s="17" t="str">
        <f>IF(F248="","",IFERROR(VLOOKUP(F248,COA!A:B,2,FALSE),"-"))</f>
        <v/>
      </c>
      <c r="H248" s="20"/>
      <c r="I248" s="20"/>
      <c r="J248" s="20"/>
      <c r="K248" s="20" t="str">
        <f t="shared" si="1"/>
        <v/>
      </c>
    </row>
    <row r="249">
      <c r="A249" s="43"/>
      <c r="C249" s="17"/>
      <c r="D249" s="17"/>
      <c r="E249" s="17" t="str">
        <f>IF(D249="","",IFERROR(VLOOKUP(D249,COA!A:B,2,FALSE),"-"))</f>
        <v/>
      </c>
      <c r="F249" s="17"/>
      <c r="G249" s="17" t="str">
        <f>IF(F249="","",IFERROR(VLOOKUP(F249,COA!A:B,2,FALSE),"-"))</f>
        <v/>
      </c>
      <c r="H249" s="20"/>
      <c r="I249" s="20"/>
      <c r="J249" s="20"/>
      <c r="K249" s="20" t="str">
        <f t="shared" si="1"/>
        <v/>
      </c>
    </row>
    <row r="250">
      <c r="A250" s="43"/>
      <c r="C250" s="17"/>
      <c r="D250" s="17"/>
      <c r="E250" s="17" t="str">
        <f>IF(D250="","",IFERROR(VLOOKUP(D250,COA!A:B,2,FALSE),"-"))</f>
        <v/>
      </c>
      <c r="F250" s="17"/>
      <c r="G250" s="17" t="str">
        <f>IF(F250="","",IFERROR(VLOOKUP(F250,COA!A:B,2,FALSE),"-"))</f>
        <v/>
      </c>
      <c r="H250" s="20"/>
      <c r="I250" s="20"/>
      <c r="J250" s="20"/>
      <c r="K250" s="20" t="str">
        <f t="shared" si="1"/>
        <v/>
      </c>
    </row>
    <row r="251">
      <c r="A251" s="43"/>
      <c r="C251" s="17"/>
      <c r="D251" s="17"/>
      <c r="E251" s="17" t="str">
        <f>IF(D251="","",IFERROR(VLOOKUP(D251,COA!A:B,2,FALSE),"-"))</f>
        <v/>
      </c>
      <c r="F251" s="17"/>
      <c r="G251" s="17" t="str">
        <f>IF(F251="","",IFERROR(VLOOKUP(F251,COA!A:B,2,FALSE),"-"))</f>
        <v/>
      </c>
      <c r="H251" s="20"/>
      <c r="I251" s="20"/>
      <c r="J251" s="20"/>
      <c r="K251" s="20" t="str">
        <f t="shared" si="1"/>
        <v/>
      </c>
    </row>
    <row r="252">
      <c r="A252" s="43"/>
      <c r="C252" s="17"/>
      <c r="D252" s="17"/>
      <c r="E252" s="17" t="str">
        <f>IF(D252="","",IFERROR(VLOOKUP(D252,COA!A:B,2,FALSE),"-"))</f>
        <v/>
      </c>
      <c r="F252" s="17"/>
      <c r="G252" s="17" t="str">
        <f>IF(F252="","",IFERROR(VLOOKUP(F252,COA!A:B,2,FALSE),"-"))</f>
        <v/>
      </c>
      <c r="H252" s="20"/>
      <c r="I252" s="20"/>
      <c r="J252" s="20"/>
      <c r="K252" s="20" t="str">
        <f t="shared" si="1"/>
        <v/>
      </c>
    </row>
    <row r="253">
      <c r="A253" s="43"/>
      <c r="C253" s="17"/>
      <c r="D253" s="17"/>
      <c r="E253" s="17" t="str">
        <f>IF(D253="","",IFERROR(VLOOKUP(D253,COA!A:B,2,FALSE),"-"))</f>
        <v/>
      </c>
      <c r="F253" s="17"/>
      <c r="G253" s="17" t="str">
        <f>IF(F253="","",IFERROR(VLOOKUP(F253,COA!A:B,2,FALSE),"-"))</f>
        <v/>
      </c>
      <c r="H253" s="20"/>
      <c r="I253" s="20"/>
      <c r="J253" s="20"/>
      <c r="K253" s="20" t="str">
        <f t="shared" si="1"/>
        <v/>
      </c>
    </row>
    <row r="254">
      <c r="A254" s="43"/>
      <c r="C254" s="17"/>
      <c r="D254" s="17"/>
      <c r="E254" s="17" t="str">
        <f>IF(D254="","",IFERROR(VLOOKUP(D254,COA!A:B,2,FALSE),"-"))</f>
        <v/>
      </c>
      <c r="F254" s="17"/>
      <c r="G254" s="17" t="str">
        <f>IF(F254="","",IFERROR(VLOOKUP(F254,COA!A:B,2,FALSE),"-"))</f>
        <v/>
      </c>
      <c r="H254" s="20"/>
      <c r="I254" s="20"/>
      <c r="J254" s="20"/>
      <c r="K254" s="20" t="str">
        <f t="shared" si="1"/>
        <v/>
      </c>
    </row>
    <row r="255">
      <c r="A255" s="43"/>
      <c r="C255" s="17"/>
      <c r="D255" s="17"/>
      <c r="E255" s="17" t="str">
        <f>IF(D255="","",IFERROR(VLOOKUP(D255,COA!A:B,2,FALSE),"-"))</f>
        <v/>
      </c>
      <c r="F255" s="17"/>
      <c r="G255" s="17" t="str">
        <f>IF(F255="","",IFERROR(VLOOKUP(F255,COA!A:B,2,FALSE),"-"))</f>
        <v/>
      </c>
      <c r="H255" s="20"/>
      <c r="I255" s="20"/>
      <c r="J255" s="20"/>
      <c r="K255" s="20" t="str">
        <f t="shared" si="1"/>
        <v/>
      </c>
    </row>
    <row r="256">
      <c r="A256" s="43"/>
      <c r="C256" s="17"/>
      <c r="D256" s="17"/>
      <c r="E256" s="17" t="str">
        <f>IF(D256="","",IFERROR(VLOOKUP(D256,COA!A:B,2,FALSE),"-"))</f>
        <v/>
      </c>
      <c r="F256" s="17"/>
      <c r="G256" s="17" t="str">
        <f>IF(F256="","",IFERROR(VLOOKUP(F256,COA!A:B,2,FALSE),"-"))</f>
        <v/>
      </c>
      <c r="H256" s="20"/>
      <c r="I256" s="20"/>
      <c r="J256" s="20"/>
      <c r="K256" s="20" t="str">
        <f t="shared" si="1"/>
        <v/>
      </c>
    </row>
    <row r="257">
      <c r="A257" s="43"/>
      <c r="C257" s="17"/>
      <c r="D257" s="17"/>
      <c r="E257" s="17" t="str">
        <f>IF(D257="","",IFERROR(VLOOKUP(D257,COA!A:B,2,FALSE),"-"))</f>
        <v/>
      </c>
      <c r="F257" s="17"/>
      <c r="G257" s="17" t="str">
        <f>IF(F257="","",IFERROR(VLOOKUP(F257,COA!A:B,2,FALSE),"-"))</f>
        <v/>
      </c>
      <c r="H257" s="20"/>
      <c r="I257" s="20"/>
      <c r="J257" s="20"/>
      <c r="K257" s="20" t="str">
        <f t="shared" si="1"/>
        <v/>
      </c>
    </row>
    <row r="258">
      <c r="A258" s="43"/>
      <c r="C258" s="17"/>
      <c r="D258" s="17"/>
      <c r="E258" s="17" t="str">
        <f>IF(D258="","",IFERROR(VLOOKUP(D258,COA!A:B,2,FALSE),"-"))</f>
        <v/>
      </c>
      <c r="F258" s="17"/>
      <c r="G258" s="17" t="str">
        <f>IF(F258="","",IFERROR(VLOOKUP(F258,COA!A:B,2,FALSE),"-"))</f>
        <v/>
      </c>
      <c r="H258" s="20"/>
      <c r="I258" s="20"/>
      <c r="J258" s="20"/>
      <c r="K258" s="20" t="str">
        <f t="shared" si="1"/>
        <v/>
      </c>
    </row>
    <row r="259">
      <c r="A259" s="43"/>
      <c r="C259" s="17"/>
      <c r="D259" s="17"/>
      <c r="E259" s="17" t="str">
        <f>IF(D259="","",IFERROR(VLOOKUP(D259,COA!A:B,2,FALSE),"-"))</f>
        <v/>
      </c>
      <c r="F259" s="17"/>
      <c r="G259" s="17" t="str">
        <f>IF(F259="","",IFERROR(VLOOKUP(F259,COA!A:B,2,FALSE),"-"))</f>
        <v/>
      </c>
      <c r="H259" s="20"/>
      <c r="I259" s="20"/>
      <c r="J259" s="20"/>
      <c r="K259" s="20" t="str">
        <f t="shared" si="1"/>
        <v/>
      </c>
    </row>
    <row r="260">
      <c r="A260" s="43"/>
      <c r="C260" s="17"/>
      <c r="D260" s="17"/>
      <c r="E260" s="17" t="str">
        <f>IF(D260="","",IFERROR(VLOOKUP(D260,COA!A:B,2,FALSE),"-"))</f>
        <v/>
      </c>
      <c r="F260" s="17"/>
      <c r="G260" s="17" t="str">
        <f>IF(F260="","",IFERROR(VLOOKUP(F260,COA!A:B,2,FALSE),"-"))</f>
        <v/>
      </c>
      <c r="H260" s="20"/>
      <c r="I260" s="20"/>
      <c r="J260" s="20"/>
      <c r="K260" s="20" t="str">
        <f t="shared" si="1"/>
        <v/>
      </c>
    </row>
    <row r="261">
      <c r="A261" s="43"/>
      <c r="C261" s="17"/>
      <c r="D261" s="17"/>
      <c r="E261" s="17" t="str">
        <f>IF(D261="","",IFERROR(VLOOKUP(D261,COA!A:B,2,FALSE),"-"))</f>
        <v/>
      </c>
      <c r="F261" s="17"/>
      <c r="G261" s="17" t="str">
        <f>IF(F261="","",IFERROR(VLOOKUP(F261,COA!A:B,2,FALSE),"-"))</f>
        <v/>
      </c>
      <c r="H261" s="20"/>
      <c r="I261" s="20"/>
      <c r="J261" s="20"/>
      <c r="K261" s="20" t="str">
        <f t="shared" si="1"/>
        <v/>
      </c>
    </row>
    <row r="262">
      <c r="A262" s="43"/>
      <c r="C262" s="17"/>
      <c r="D262" s="17"/>
      <c r="E262" s="17" t="str">
        <f>IF(D262="","",IFERROR(VLOOKUP(D262,COA!A:B,2,FALSE),"-"))</f>
        <v/>
      </c>
      <c r="F262" s="17"/>
      <c r="G262" s="17" t="str">
        <f>IF(F262="","",IFERROR(VLOOKUP(F262,COA!A:B,2,FALSE),"-"))</f>
        <v/>
      </c>
      <c r="H262" s="20"/>
      <c r="I262" s="20"/>
      <c r="J262" s="20"/>
      <c r="K262" s="20" t="str">
        <f t="shared" si="1"/>
        <v/>
      </c>
    </row>
    <row r="263">
      <c r="A263" s="43"/>
      <c r="C263" s="17"/>
      <c r="D263" s="17"/>
      <c r="E263" s="17" t="str">
        <f>IF(D263="","",IFERROR(VLOOKUP(D263,COA!A:B,2,FALSE),"-"))</f>
        <v/>
      </c>
      <c r="F263" s="17"/>
      <c r="G263" s="17" t="str">
        <f>IF(F263="","",IFERROR(VLOOKUP(F263,COA!A:B,2,FALSE),"-"))</f>
        <v/>
      </c>
      <c r="H263" s="20"/>
      <c r="I263" s="20"/>
      <c r="J263" s="20"/>
      <c r="K263" s="20" t="str">
        <f t="shared" si="1"/>
        <v/>
      </c>
    </row>
    <row r="264">
      <c r="A264" s="43"/>
      <c r="C264" s="17"/>
      <c r="D264" s="17"/>
      <c r="E264" s="17" t="str">
        <f>IF(D264="","",IFERROR(VLOOKUP(D264,COA!A:B,2,FALSE),"-"))</f>
        <v/>
      </c>
      <c r="F264" s="17"/>
      <c r="G264" s="17" t="str">
        <f>IF(F264="","",IFERROR(VLOOKUP(F264,COA!A:B,2,FALSE),"-"))</f>
        <v/>
      </c>
      <c r="H264" s="20"/>
      <c r="I264" s="20"/>
      <c r="J264" s="20"/>
      <c r="K264" s="20" t="str">
        <f t="shared" si="1"/>
        <v/>
      </c>
    </row>
    <row r="265">
      <c r="A265" s="43"/>
      <c r="C265" s="17"/>
      <c r="D265" s="17"/>
      <c r="E265" s="17" t="str">
        <f>IF(D265="","",IFERROR(VLOOKUP(D265,COA!A:B,2,FALSE),"-"))</f>
        <v/>
      </c>
      <c r="F265" s="17"/>
      <c r="G265" s="17" t="str">
        <f>IF(F265="","",IFERROR(VLOOKUP(F265,COA!A:B,2,FALSE),"-"))</f>
        <v/>
      </c>
      <c r="H265" s="20"/>
      <c r="I265" s="20"/>
      <c r="J265" s="20"/>
      <c r="K265" s="20" t="str">
        <f t="shared" si="1"/>
        <v/>
      </c>
    </row>
    <row r="266">
      <c r="A266" s="43"/>
      <c r="C266" s="17"/>
      <c r="D266" s="17"/>
      <c r="E266" s="17" t="str">
        <f>IF(D266="","",IFERROR(VLOOKUP(D266,COA!A:B,2,FALSE),"-"))</f>
        <v/>
      </c>
      <c r="F266" s="17"/>
      <c r="G266" s="17" t="str">
        <f>IF(F266="","",IFERROR(VLOOKUP(F266,COA!A:B,2,FALSE),"-"))</f>
        <v/>
      </c>
      <c r="H266" s="20"/>
      <c r="I266" s="20"/>
      <c r="J266" s="20"/>
      <c r="K266" s="20" t="str">
        <f t="shared" si="1"/>
        <v/>
      </c>
    </row>
    <row r="267">
      <c r="A267" s="43"/>
      <c r="C267" s="17"/>
      <c r="D267" s="17"/>
      <c r="E267" s="17" t="str">
        <f>IF(D267="","",IFERROR(VLOOKUP(D267,COA!A:B,2,FALSE),"-"))</f>
        <v/>
      </c>
      <c r="F267" s="17"/>
      <c r="G267" s="17" t="str">
        <f>IF(F267="","",IFERROR(VLOOKUP(F267,COA!A:B,2,FALSE),"-"))</f>
        <v/>
      </c>
      <c r="H267" s="20"/>
      <c r="I267" s="20"/>
      <c r="J267" s="20"/>
      <c r="K267" s="20" t="str">
        <f t="shared" si="1"/>
        <v/>
      </c>
    </row>
    <row r="268">
      <c r="A268" s="43"/>
      <c r="C268" s="17"/>
      <c r="D268" s="17"/>
      <c r="E268" s="17" t="str">
        <f>IF(D268="","",IFERROR(VLOOKUP(D268,COA!A:B,2,FALSE),"-"))</f>
        <v/>
      </c>
      <c r="F268" s="17"/>
      <c r="G268" s="17" t="str">
        <f>IF(F268="","",IFERROR(VLOOKUP(F268,COA!A:B,2,FALSE),"-"))</f>
        <v/>
      </c>
      <c r="H268" s="20"/>
      <c r="I268" s="20"/>
      <c r="J268" s="20"/>
      <c r="K268" s="20" t="str">
        <f t="shared" si="1"/>
        <v/>
      </c>
    </row>
    <row r="269">
      <c r="A269" s="43"/>
      <c r="C269" s="17"/>
      <c r="D269" s="17"/>
      <c r="E269" s="17" t="str">
        <f>IF(D269="","",IFERROR(VLOOKUP(D269,COA!A:B,2,FALSE),"-"))</f>
        <v/>
      </c>
      <c r="F269" s="17"/>
      <c r="G269" s="17" t="str">
        <f>IF(F269="","",IFERROR(VLOOKUP(F269,COA!A:B,2,FALSE),"-"))</f>
        <v/>
      </c>
      <c r="H269" s="20"/>
      <c r="I269" s="20"/>
      <c r="J269" s="20"/>
      <c r="K269" s="20" t="str">
        <f t="shared" si="1"/>
        <v/>
      </c>
    </row>
    <row r="270">
      <c r="A270" s="43"/>
      <c r="C270" s="17"/>
      <c r="D270" s="17"/>
      <c r="E270" s="17" t="str">
        <f>IF(D270="","",IFERROR(VLOOKUP(D270,COA!A:B,2,FALSE),"-"))</f>
        <v/>
      </c>
      <c r="F270" s="17"/>
      <c r="G270" s="17" t="str">
        <f>IF(F270="","",IFERROR(VLOOKUP(F270,COA!A:B,2,FALSE),"-"))</f>
        <v/>
      </c>
      <c r="H270" s="20"/>
      <c r="I270" s="20"/>
      <c r="J270" s="20"/>
      <c r="K270" s="20" t="str">
        <f t="shared" si="1"/>
        <v/>
      </c>
    </row>
    <row r="271">
      <c r="A271" s="43"/>
      <c r="C271" s="17"/>
      <c r="D271" s="17"/>
      <c r="E271" s="17" t="str">
        <f>IF(D271="","",IFERROR(VLOOKUP(D271,COA!A:B,2,FALSE),"-"))</f>
        <v/>
      </c>
      <c r="F271" s="17"/>
      <c r="G271" s="17" t="str">
        <f>IF(F271="","",IFERROR(VLOOKUP(F271,COA!A:B,2,FALSE),"-"))</f>
        <v/>
      </c>
      <c r="H271" s="20"/>
      <c r="I271" s="20"/>
      <c r="J271" s="20"/>
      <c r="K271" s="20" t="str">
        <f t="shared" si="1"/>
        <v/>
      </c>
    </row>
    <row r="272">
      <c r="A272" s="43"/>
      <c r="C272" s="17"/>
      <c r="D272" s="17"/>
      <c r="E272" s="17" t="str">
        <f>IF(D272="","",IFERROR(VLOOKUP(D272,COA!A:B,2,FALSE),"-"))</f>
        <v/>
      </c>
      <c r="F272" s="17"/>
      <c r="G272" s="17" t="str">
        <f>IF(F272="","",IFERROR(VLOOKUP(F272,COA!A:B,2,FALSE),"-"))</f>
        <v/>
      </c>
      <c r="H272" s="20"/>
      <c r="I272" s="20"/>
      <c r="J272" s="20"/>
      <c r="K272" s="20" t="str">
        <f t="shared" si="1"/>
        <v/>
      </c>
    </row>
    <row r="273">
      <c r="A273" s="43"/>
      <c r="C273" s="17"/>
      <c r="D273" s="17"/>
      <c r="E273" s="17" t="str">
        <f>IF(D273="","",IFERROR(VLOOKUP(D273,COA!A:B,2,FALSE),"-"))</f>
        <v/>
      </c>
      <c r="F273" s="17"/>
      <c r="G273" s="17" t="str">
        <f>IF(F273="","",IFERROR(VLOOKUP(F273,COA!A:B,2,FALSE),"-"))</f>
        <v/>
      </c>
      <c r="H273" s="20"/>
      <c r="I273" s="20"/>
      <c r="J273" s="20"/>
      <c r="K273" s="20" t="str">
        <f t="shared" si="1"/>
        <v/>
      </c>
    </row>
    <row r="274">
      <c r="A274" s="43"/>
      <c r="C274" s="17"/>
      <c r="D274" s="17"/>
      <c r="E274" s="17" t="str">
        <f>IF(D274="","",IFERROR(VLOOKUP(D274,COA!A:B,2,FALSE),"-"))</f>
        <v/>
      </c>
      <c r="F274" s="17"/>
      <c r="G274" s="17" t="str">
        <f>IF(F274="","",IFERROR(VLOOKUP(F274,COA!A:B,2,FALSE),"-"))</f>
        <v/>
      </c>
      <c r="H274" s="20"/>
      <c r="I274" s="20"/>
      <c r="J274" s="20"/>
      <c r="K274" s="20" t="str">
        <f t="shared" si="1"/>
        <v/>
      </c>
    </row>
    <row r="275">
      <c r="A275" s="43"/>
      <c r="C275" s="17"/>
      <c r="D275" s="17"/>
      <c r="E275" s="17" t="str">
        <f>IF(D275="","",IFERROR(VLOOKUP(D275,COA!A:B,2,FALSE),"-"))</f>
        <v/>
      </c>
      <c r="F275" s="17"/>
      <c r="G275" s="17" t="str">
        <f>IF(F275="","",IFERROR(VLOOKUP(F275,COA!A:B,2,FALSE),"-"))</f>
        <v/>
      </c>
      <c r="H275" s="20"/>
      <c r="I275" s="20"/>
      <c r="J275" s="20"/>
      <c r="K275" s="20" t="str">
        <f t="shared" si="1"/>
        <v/>
      </c>
    </row>
    <row r="276">
      <c r="A276" s="43"/>
      <c r="C276" s="17"/>
      <c r="D276" s="17"/>
      <c r="E276" s="17" t="str">
        <f>IF(D276="","",IFERROR(VLOOKUP(D276,COA!A:B,2,FALSE),"-"))</f>
        <v/>
      </c>
      <c r="F276" s="17"/>
      <c r="G276" s="17" t="str">
        <f>IF(F276="","",IFERROR(VLOOKUP(F276,COA!A:B,2,FALSE),"-"))</f>
        <v/>
      </c>
      <c r="H276" s="20"/>
      <c r="I276" s="20"/>
      <c r="J276" s="20"/>
      <c r="K276" s="20" t="str">
        <f t="shared" si="1"/>
        <v/>
      </c>
    </row>
    <row r="277">
      <c r="A277" s="43"/>
      <c r="C277" s="17"/>
      <c r="D277" s="17"/>
      <c r="E277" s="17" t="str">
        <f>IF(D277="","",IFERROR(VLOOKUP(D277,COA!A:B,2,FALSE),"-"))</f>
        <v/>
      </c>
      <c r="F277" s="17"/>
      <c r="G277" s="17" t="str">
        <f>IF(F277="","",IFERROR(VLOOKUP(F277,COA!A:B,2,FALSE),"-"))</f>
        <v/>
      </c>
      <c r="H277" s="20"/>
      <c r="I277" s="20"/>
      <c r="J277" s="20"/>
      <c r="K277" s="20" t="str">
        <f t="shared" si="1"/>
        <v/>
      </c>
    </row>
    <row r="278">
      <c r="A278" s="43"/>
      <c r="C278" s="17"/>
      <c r="D278" s="17"/>
      <c r="E278" s="17" t="str">
        <f>IF(D278="","",IFERROR(VLOOKUP(D278,COA!A:B,2,FALSE),"-"))</f>
        <v/>
      </c>
      <c r="F278" s="17"/>
      <c r="G278" s="17" t="str">
        <f>IF(F278="","",IFERROR(VLOOKUP(F278,COA!A:B,2,FALSE),"-"))</f>
        <v/>
      </c>
      <c r="H278" s="20"/>
      <c r="I278" s="20"/>
      <c r="J278" s="20"/>
      <c r="K278" s="20" t="str">
        <f t="shared" si="1"/>
        <v/>
      </c>
    </row>
    <row r="279">
      <c r="A279" s="43"/>
      <c r="C279" s="17"/>
      <c r="D279" s="17"/>
      <c r="E279" s="17" t="str">
        <f>IF(D279="","",IFERROR(VLOOKUP(D279,COA!A:B,2,FALSE),"-"))</f>
        <v/>
      </c>
      <c r="F279" s="17"/>
      <c r="G279" s="17" t="str">
        <f>IF(F279="","",IFERROR(VLOOKUP(F279,COA!A:B,2,FALSE),"-"))</f>
        <v/>
      </c>
      <c r="H279" s="20"/>
      <c r="I279" s="20"/>
      <c r="J279" s="20"/>
      <c r="K279" s="20" t="str">
        <f t="shared" si="1"/>
        <v/>
      </c>
    </row>
    <row r="280">
      <c r="A280" s="43"/>
      <c r="C280" s="17"/>
      <c r="D280" s="17"/>
      <c r="E280" s="17" t="str">
        <f>IF(D280="","",IFERROR(VLOOKUP(D280,COA!A:B,2,FALSE),"-"))</f>
        <v/>
      </c>
      <c r="F280" s="17"/>
      <c r="G280" s="17" t="str">
        <f>IF(F280="","",IFERROR(VLOOKUP(F280,COA!A:B,2,FALSE),"-"))</f>
        <v/>
      </c>
      <c r="H280" s="20"/>
      <c r="I280" s="20"/>
      <c r="J280" s="20"/>
      <c r="K280" s="20" t="str">
        <f t="shared" si="1"/>
        <v/>
      </c>
    </row>
    <row r="281">
      <c r="A281" s="43"/>
      <c r="C281" s="17"/>
      <c r="D281" s="17"/>
      <c r="E281" s="17" t="str">
        <f>IF(D281="","",IFERROR(VLOOKUP(D281,COA!A:B,2,FALSE),"-"))</f>
        <v/>
      </c>
      <c r="F281" s="17"/>
      <c r="G281" s="17" t="str">
        <f>IF(F281="","",IFERROR(VLOOKUP(F281,COA!A:B,2,FALSE),"-"))</f>
        <v/>
      </c>
      <c r="H281" s="20"/>
      <c r="I281" s="20"/>
      <c r="J281" s="20"/>
      <c r="K281" s="20" t="str">
        <f t="shared" si="1"/>
        <v/>
      </c>
    </row>
    <row r="282">
      <c r="A282" s="43"/>
      <c r="C282" s="17"/>
      <c r="D282" s="17"/>
      <c r="E282" s="17" t="str">
        <f>IF(D282="","",IFERROR(VLOOKUP(D282,COA!A:B,2,FALSE),"-"))</f>
        <v/>
      </c>
      <c r="F282" s="17"/>
      <c r="G282" s="17" t="str">
        <f>IF(F282="","",IFERROR(VLOOKUP(F282,COA!A:B,2,FALSE),"-"))</f>
        <v/>
      </c>
      <c r="H282" s="20"/>
      <c r="I282" s="20"/>
      <c r="J282" s="20"/>
      <c r="K282" s="20" t="str">
        <f t="shared" si="1"/>
        <v/>
      </c>
    </row>
    <row r="283">
      <c r="A283" s="43"/>
      <c r="C283" s="17"/>
      <c r="D283" s="17"/>
      <c r="E283" s="17" t="str">
        <f>IF(D283="","",IFERROR(VLOOKUP(D283,COA!A:B,2,FALSE),"-"))</f>
        <v/>
      </c>
      <c r="F283" s="17"/>
      <c r="G283" s="17" t="str">
        <f>IF(F283="","",IFERROR(VLOOKUP(F283,COA!A:B,2,FALSE),"-"))</f>
        <v/>
      </c>
      <c r="H283" s="20"/>
      <c r="I283" s="20"/>
      <c r="J283" s="20"/>
      <c r="K283" s="20" t="str">
        <f t="shared" si="1"/>
        <v/>
      </c>
    </row>
    <row r="284">
      <c r="A284" s="43"/>
      <c r="C284" s="17"/>
      <c r="D284" s="17"/>
      <c r="E284" s="17" t="str">
        <f>IF(D284="","",IFERROR(VLOOKUP(D284,COA!A:B,2,FALSE),"-"))</f>
        <v/>
      </c>
      <c r="F284" s="17"/>
      <c r="G284" s="17" t="str">
        <f>IF(F284="","",IFERROR(VLOOKUP(F284,COA!A:B,2,FALSE),"-"))</f>
        <v/>
      </c>
      <c r="H284" s="20"/>
      <c r="I284" s="20"/>
      <c r="J284" s="20"/>
      <c r="K284" s="20" t="str">
        <f t="shared" si="1"/>
        <v/>
      </c>
    </row>
    <row r="285">
      <c r="A285" s="43"/>
      <c r="C285" s="17"/>
      <c r="D285" s="17"/>
      <c r="E285" s="17" t="str">
        <f>IF(D285="","",IFERROR(VLOOKUP(D285,COA!A:B,2,FALSE),"-"))</f>
        <v/>
      </c>
      <c r="F285" s="17"/>
      <c r="G285" s="17" t="str">
        <f>IF(F285="","",IFERROR(VLOOKUP(F285,COA!A:B,2,FALSE),"-"))</f>
        <v/>
      </c>
      <c r="H285" s="20"/>
      <c r="I285" s="20"/>
      <c r="J285" s="20"/>
      <c r="K285" s="20" t="str">
        <f t="shared" si="1"/>
        <v/>
      </c>
    </row>
    <row r="286">
      <c r="A286" s="43"/>
      <c r="C286" s="17"/>
      <c r="D286" s="17"/>
      <c r="E286" s="17" t="str">
        <f>IF(D286="","",IFERROR(VLOOKUP(D286,COA!A:B,2,FALSE),"-"))</f>
        <v/>
      </c>
      <c r="F286" s="17"/>
      <c r="G286" s="17" t="str">
        <f>IF(F286="","",IFERROR(VLOOKUP(F286,COA!A:B,2,FALSE),"-"))</f>
        <v/>
      </c>
      <c r="H286" s="20"/>
      <c r="I286" s="20"/>
      <c r="J286" s="20"/>
      <c r="K286" s="20" t="str">
        <f t="shared" si="1"/>
        <v/>
      </c>
    </row>
    <row r="287">
      <c r="A287" s="43"/>
      <c r="C287" s="17"/>
      <c r="D287" s="17"/>
      <c r="E287" s="17" t="str">
        <f>IF(D287="","",IFERROR(VLOOKUP(D287,COA!A:B,2,FALSE),"-"))</f>
        <v/>
      </c>
      <c r="F287" s="17"/>
      <c r="G287" s="17" t="str">
        <f>IF(F287="","",IFERROR(VLOOKUP(F287,COA!A:B,2,FALSE),"-"))</f>
        <v/>
      </c>
      <c r="H287" s="20"/>
      <c r="I287" s="20"/>
      <c r="J287" s="20"/>
      <c r="K287" s="20" t="str">
        <f t="shared" si="1"/>
        <v/>
      </c>
    </row>
    <row r="288">
      <c r="A288" s="43"/>
      <c r="C288" s="17"/>
      <c r="D288" s="17"/>
      <c r="E288" s="17" t="str">
        <f>IF(D288="","",IFERROR(VLOOKUP(D288,COA!A:B,2,FALSE),"-"))</f>
        <v/>
      </c>
      <c r="F288" s="17"/>
      <c r="G288" s="17" t="str">
        <f>IF(F288="","",IFERROR(VLOOKUP(F288,COA!A:B,2,FALSE),"-"))</f>
        <v/>
      </c>
      <c r="H288" s="20"/>
      <c r="I288" s="20"/>
      <c r="J288" s="20"/>
      <c r="K288" s="20" t="str">
        <f t="shared" si="1"/>
        <v/>
      </c>
    </row>
    <row r="289">
      <c r="A289" s="43"/>
      <c r="C289" s="17"/>
      <c r="D289" s="17"/>
      <c r="E289" s="17" t="str">
        <f>IF(D289="","",IFERROR(VLOOKUP(D289,COA!A:B,2,FALSE),"-"))</f>
        <v/>
      </c>
      <c r="F289" s="17"/>
      <c r="G289" s="17" t="str">
        <f>IF(F289="","",IFERROR(VLOOKUP(F289,COA!A:B,2,FALSE),"-"))</f>
        <v/>
      </c>
      <c r="H289" s="20"/>
      <c r="I289" s="20"/>
      <c r="J289" s="20"/>
      <c r="K289" s="20" t="str">
        <f t="shared" si="1"/>
        <v/>
      </c>
    </row>
    <row r="290">
      <c r="A290" s="43"/>
      <c r="C290" s="17"/>
      <c r="D290" s="17"/>
      <c r="E290" s="17" t="str">
        <f>IF(D290="","",IFERROR(VLOOKUP(D290,COA!A:B,2,FALSE),"-"))</f>
        <v/>
      </c>
      <c r="F290" s="17"/>
      <c r="G290" s="17" t="str">
        <f>IF(F290="","",IFERROR(VLOOKUP(F290,COA!A:B,2,FALSE),"-"))</f>
        <v/>
      </c>
      <c r="H290" s="20"/>
      <c r="I290" s="20"/>
      <c r="J290" s="20"/>
      <c r="K290" s="20" t="str">
        <f t="shared" si="1"/>
        <v/>
      </c>
    </row>
    <row r="291">
      <c r="A291" s="43"/>
      <c r="C291" s="17"/>
      <c r="D291" s="17"/>
      <c r="E291" s="17" t="str">
        <f>IF(D291="","",IFERROR(VLOOKUP(D291,COA!A:B,2,FALSE),"-"))</f>
        <v/>
      </c>
      <c r="F291" s="17"/>
      <c r="G291" s="17" t="str">
        <f>IF(F291="","",IFERROR(VLOOKUP(F291,COA!A:B,2,FALSE),"-"))</f>
        <v/>
      </c>
      <c r="H291" s="20"/>
      <c r="I291" s="20"/>
      <c r="J291" s="20"/>
      <c r="K291" s="20" t="str">
        <f t="shared" si="1"/>
        <v/>
      </c>
    </row>
    <row r="292">
      <c r="A292" s="43"/>
      <c r="C292" s="17"/>
      <c r="D292" s="17"/>
      <c r="E292" s="17" t="str">
        <f>IF(D292="","",IFERROR(VLOOKUP(D292,COA!A:B,2,FALSE),"-"))</f>
        <v/>
      </c>
      <c r="F292" s="17"/>
      <c r="G292" s="17" t="str">
        <f>IF(F292="","",IFERROR(VLOOKUP(F292,COA!A:B,2,FALSE),"-"))</f>
        <v/>
      </c>
      <c r="H292" s="20"/>
      <c r="I292" s="20"/>
      <c r="J292" s="20"/>
      <c r="K292" s="20" t="str">
        <f t="shared" si="1"/>
        <v/>
      </c>
    </row>
    <row r="293">
      <c r="A293" s="43"/>
      <c r="C293" s="17"/>
      <c r="D293" s="17"/>
      <c r="E293" s="17" t="str">
        <f>IF(D293="","",IFERROR(VLOOKUP(D293,COA!A:B,2,FALSE),"-"))</f>
        <v/>
      </c>
      <c r="F293" s="17"/>
      <c r="G293" s="17" t="str">
        <f>IF(F293="","",IFERROR(VLOOKUP(F293,COA!A:B,2,FALSE),"-"))</f>
        <v/>
      </c>
      <c r="H293" s="20"/>
      <c r="I293" s="20"/>
      <c r="J293" s="20"/>
      <c r="K293" s="20" t="str">
        <f t="shared" si="1"/>
        <v/>
      </c>
    </row>
    <row r="294">
      <c r="A294" s="43"/>
      <c r="C294" s="17"/>
      <c r="D294" s="17"/>
      <c r="E294" s="17" t="str">
        <f>IF(D294="","",IFERROR(VLOOKUP(D294,COA!A:B,2,FALSE),"-"))</f>
        <v/>
      </c>
      <c r="F294" s="17"/>
      <c r="G294" s="17" t="str">
        <f>IF(F294="","",IFERROR(VLOOKUP(F294,COA!A:B,2,FALSE),"-"))</f>
        <v/>
      </c>
      <c r="H294" s="20"/>
      <c r="I294" s="20"/>
      <c r="J294" s="20"/>
      <c r="K294" s="20" t="str">
        <f t="shared" si="1"/>
        <v/>
      </c>
    </row>
    <row r="295">
      <c r="A295" s="43"/>
      <c r="C295" s="17"/>
      <c r="D295" s="17"/>
      <c r="E295" s="17" t="str">
        <f>IF(D295="","",IFERROR(VLOOKUP(D295,COA!A:B,2,FALSE),"-"))</f>
        <v/>
      </c>
      <c r="F295" s="17"/>
      <c r="G295" s="17" t="str">
        <f>IF(F295="","",IFERROR(VLOOKUP(F295,COA!A:B,2,FALSE),"-"))</f>
        <v/>
      </c>
      <c r="H295" s="20"/>
      <c r="I295" s="20"/>
      <c r="J295" s="20"/>
      <c r="K295" s="20" t="str">
        <f t="shared" si="1"/>
        <v/>
      </c>
    </row>
    <row r="296">
      <c r="A296" s="43"/>
      <c r="C296" s="17"/>
      <c r="D296" s="17"/>
      <c r="E296" s="17" t="str">
        <f>IF(D296="","",IFERROR(VLOOKUP(D296,COA!A:B,2,FALSE),"-"))</f>
        <v/>
      </c>
      <c r="F296" s="17"/>
      <c r="G296" s="17" t="str">
        <f>IF(F296="","",IFERROR(VLOOKUP(F296,COA!A:B,2,FALSE),"-"))</f>
        <v/>
      </c>
      <c r="H296" s="20"/>
      <c r="I296" s="20"/>
      <c r="J296" s="20"/>
      <c r="K296" s="20" t="str">
        <f t="shared" si="1"/>
        <v/>
      </c>
    </row>
    <row r="297">
      <c r="A297" s="43"/>
      <c r="C297" s="17"/>
      <c r="D297" s="17"/>
      <c r="E297" s="17" t="str">
        <f>IF(D297="","",IFERROR(VLOOKUP(D297,COA!A:B,2,FALSE),"-"))</f>
        <v/>
      </c>
      <c r="F297" s="17"/>
      <c r="G297" s="17" t="str">
        <f>IF(F297="","",IFERROR(VLOOKUP(F297,COA!A:B,2,FALSE),"-"))</f>
        <v/>
      </c>
      <c r="H297" s="20"/>
      <c r="I297" s="20"/>
      <c r="J297" s="20"/>
      <c r="K297" s="20" t="str">
        <f t="shared" si="1"/>
        <v/>
      </c>
    </row>
    <row r="298">
      <c r="A298" s="43"/>
      <c r="C298" s="17"/>
      <c r="D298" s="17"/>
      <c r="E298" s="17" t="str">
        <f>IF(D298="","",IFERROR(VLOOKUP(D298,COA!A:B,2,FALSE),"-"))</f>
        <v/>
      </c>
      <c r="F298" s="17"/>
      <c r="G298" s="17" t="str">
        <f>IF(F298="","",IFERROR(VLOOKUP(F298,COA!A:B,2,FALSE),"-"))</f>
        <v/>
      </c>
      <c r="H298" s="20"/>
      <c r="I298" s="20"/>
      <c r="J298" s="20"/>
      <c r="K298" s="20" t="str">
        <f t="shared" si="1"/>
        <v/>
      </c>
    </row>
    <row r="299">
      <c r="A299" s="43"/>
      <c r="C299" s="17"/>
      <c r="D299" s="17"/>
      <c r="E299" s="17" t="str">
        <f>IF(D299="","",IFERROR(VLOOKUP(D299,COA!A:B,2,FALSE),"-"))</f>
        <v/>
      </c>
      <c r="F299" s="17"/>
      <c r="G299" s="17" t="str">
        <f>IF(F299="","",IFERROR(VLOOKUP(F299,COA!A:B,2,FALSE),"-"))</f>
        <v/>
      </c>
      <c r="H299" s="20"/>
      <c r="I299" s="20"/>
      <c r="J299" s="20"/>
      <c r="K299" s="20" t="str">
        <f t="shared" si="1"/>
        <v/>
      </c>
    </row>
    <row r="300">
      <c r="A300" s="43"/>
      <c r="C300" s="17"/>
      <c r="D300" s="17"/>
      <c r="E300" s="17" t="str">
        <f>IF(D300="","",IFERROR(VLOOKUP(D300,COA!A:B,2,FALSE),"-"))</f>
        <v/>
      </c>
      <c r="F300" s="17"/>
      <c r="G300" s="17" t="str">
        <f>IF(F300="","",IFERROR(VLOOKUP(F300,COA!A:B,2,FALSE),"-"))</f>
        <v/>
      </c>
      <c r="H300" s="20"/>
      <c r="I300" s="20"/>
      <c r="J300" s="20"/>
      <c r="K300" s="20" t="str">
        <f t="shared" si="1"/>
        <v/>
      </c>
    </row>
    <row r="301">
      <c r="A301" s="43"/>
      <c r="C301" s="17"/>
      <c r="D301" s="17"/>
      <c r="E301" s="17" t="str">
        <f>IF(D301="","",IFERROR(VLOOKUP(D301,COA!A:B,2,FALSE),"-"))</f>
        <v/>
      </c>
      <c r="F301" s="17"/>
      <c r="G301" s="17" t="str">
        <f>IF(F301="","",IFERROR(VLOOKUP(F301,COA!A:B,2,FALSE),"-"))</f>
        <v/>
      </c>
      <c r="H301" s="20"/>
      <c r="I301" s="20"/>
      <c r="J301" s="20"/>
      <c r="K301" s="20" t="str">
        <f t="shared" si="1"/>
        <v/>
      </c>
    </row>
    <row r="302">
      <c r="A302" s="43"/>
      <c r="C302" s="17"/>
      <c r="D302" s="17"/>
      <c r="E302" s="17" t="str">
        <f>IF(D302="","",IFERROR(VLOOKUP(D302,COA!A:B,2,FALSE),"-"))</f>
        <v/>
      </c>
      <c r="F302" s="17"/>
      <c r="G302" s="17" t="str">
        <f>IF(F302="","",IFERROR(VLOOKUP(F302,COA!A:B,2,FALSE),"-"))</f>
        <v/>
      </c>
      <c r="H302" s="20"/>
      <c r="I302" s="20"/>
      <c r="J302" s="20"/>
      <c r="K302" s="20" t="str">
        <f t="shared" si="1"/>
        <v/>
      </c>
    </row>
    <row r="303">
      <c r="A303" s="43"/>
      <c r="C303" s="17"/>
      <c r="D303" s="17"/>
      <c r="E303" s="17" t="str">
        <f>IF(D303="","",IFERROR(VLOOKUP(D303,COA!A:B,2,FALSE),"-"))</f>
        <v/>
      </c>
      <c r="F303" s="17"/>
      <c r="G303" s="17" t="str">
        <f>IF(F303="","",IFERROR(VLOOKUP(F303,COA!A:B,2,FALSE),"-"))</f>
        <v/>
      </c>
      <c r="H303" s="20"/>
      <c r="I303" s="20"/>
      <c r="J303" s="20"/>
      <c r="K303" s="20" t="str">
        <f t="shared" si="1"/>
        <v/>
      </c>
    </row>
    <row r="304">
      <c r="A304" s="43"/>
      <c r="C304" s="17"/>
      <c r="D304" s="17"/>
      <c r="E304" s="17" t="str">
        <f>IF(D304="","",IFERROR(VLOOKUP(D304,COA!A:B,2,FALSE),"-"))</f>
        <v/>
      </c>
      <c r="F304" s="17"/>
      <c r="G304" s="17" t="str">
        <f>IF(F304="","",IFERROR(VLOOKUP(F304,COA!A:B,2,FALSE),"-"))</f>
        <v/>
      </c>
      <c r="H304" s="20"/>
      <c r="I304" s="20"/>
      <c r="J304" s="20"/>
      <c r="K304" s="20" t="str">
        <f t="shared" si="1"/>
        <v/>
      </c>
    </row>
    <row r="305">
      <c r="A305" s="43"/>
      <c r="C305" s="17"/>
      <c r="D305" s="17"/>
      <c r="E305" s="17" t="str">
        <f>IF(D305="","",IFERROR(VLOOKUP(D305,COA!A:B,2,FALSE),"-"))</f>
        <v/>
      </c>
      <c r="F305" s="17"/>
      <c r="G305" s="17" t="str">
        <f>IF(F305="","",IFERROR(VLOOKUP(F305,COA!A:B,2,FALSE),"-"))</f>
        <v/>
      </c>
      <c r="H305" s="20"/>
      <c r="I305" s="20"/>
      <c r="J305" s="20"/>
      <c r="K305" s="20" t="str">
        <f t="shared" si="1"/>
        <v/>
      </c>
    </row>
    <row r="306">
      <c r="A306" s="43"/>
      <c r="C306" s="17"/>
      <c r="D306" s="17"/>
      <c r="E306" s="17" t="str">
        <f>IF(D306="","",IFERROR(VLOOKUP(D306,COA!A:B,2,FALSE),"-"))</f>
        <v/>
      </c>
      <c r="F306" s="17"/>
      <c r="G306" s="17" t="str">
        <f>IF(F306="","",IFERROR(VLOOKUP(F306,COA!A:B,2,FALSE),"-"))</f>
        <v/>
      </c>
      <c r="H306" s="20"/>
      <c r="I306" s="20"/>
      <c r="J306" s="20"/>
      <c r="K306" s="20" t="str">
        <f t="shared" si="1"/>
        <v/>
      </c>
    </row>
    <row r="307">
      <c r="A307" s="43"/>
      <c r="C307" s="17"/>
      <c r="D307" s="17"/>
      <c r="E307" s="17" t="str">
        <f>IF(D307="","",IFERROR(VLOOKUP(D307,COA!A:B,2,FALSE),"-"))</f>
        <v/>
      </c>
      <c r="F307" s="17"/>
      <c r="G307" s="17" t="str">
        <f>IF(F307="","",IFERROR(VLOOKUP(F307,COA!A:B,2,FALSE),"-"))</f>
        <v/>
      </c>
      <c r="H307" s="20"/>
      <c r="I307" s="20"/>
      <c r="J307" s="20"/>
      <c r="K307" s="20" t="str">
        <f t="shared" si="1"/>
        <v/>
      </c>
    </row>
    <row r="308">
      <c r="A308" s="43"/>
      <c r="C308" s="17"/>
      <c r="D308" s="17"/>
      <c r="E308" s="17" t="str">
        <f>IF(D308="","",IFERROR(VLOOKUP(D308,COA!A:B,2,FALSE),"-"))</f>
        <v/>
      </c>
      <c r="F308" s="17"/>
      <c r="G308" s="17" t="str">
        <f>IF(F308="","",IFERROR(VLOOKUP(F308,COA!A:B,2,FALSE),"-"))</f>
        <v/>
      </c>
      <c r="H308" s="20"/>
      <c r="I308" s="20"/>
      <c r="J308" s="20"/>
      <c r="K308" s="20" t="str">
        <f t="shared" si="1"/>
        <v/>
      </c>
    </row>
    <row r="309">
      <c r="A309" s="43"/>
      <c r="C309" s="17"/>
      <c r="D309" s="17"/>
      <c r="E309" s="17" t="str">
        <f>IF(D309="","",IFERROR(VLOOKUP(D309,COA!A:B,2,FALSE),"-"))</f>
        <v/>
      </c>
      <c r="F309" s="17"/>
      <c r="G309" s="17" t="str">
        <f>IF(F309="","",IFERROR(VLOOKUP(F309,COA!A:B,2,FALSE),"-"))</f>
        <v/>
      </c>
      <c r="H309" s="20"/>
      <c r="I309" s="20"/>
      <c r="J309" s="20"/>
      <c r="K309" s="20" t="str">
        <f t="shared" si="1"/>
        <v/>
      </c>
    </row>
    <row r="310">
      <c r="A310" s="43"/>
      <c r="C310" s="17"/>
      <c r="D310" s="17"/>
      <c r="E310" s="17" t="str">
        <f>IF(D310="","",IFERROR(VLOOKUP(D310,COA!A:B,2,FALSE),"-"))</f>
        <v/>
      </c>
      <c r="F310" s="17"/>
      <c r="G310" s="17" t="str">
        <f>IF(F310="","",IFERROR(VLOOKUP(F310,COA!A:B,2,FALSE),"-"))</f>
        <v/>
      </c>
      <c r="H310" s="20"/>
      <c r="I310" s="20"/>
      <c r="J310" s="20"/>
      <c r="K310" s="20" t="str">
        <f t="shared" si="1"/>
        <v/>
      </c>
    </row>
    <row r="311">
      <c r="A311" s="43"/>
      <c r="C311" s="17"/>
      <c r="D311" s="17"/>
      <c r="E311" s="17" t="str">
        <f>IF(D311="","",IFERROR(VLOOKUP(D311,COA!A:B,2,FALSE),"-"))</f>
        <v/>
      </c>
      <c r="F311" s="17"/>
      <c r="G311" s="17" t="str">
        <f>IF(F311="","",IFERROR(VLOOKUP(F311,COA!A:B,2,FALSE),"-"))</f>
        <v/>
      </c>
      <c r="H311" s="20"/>
      <c r="I311" s="20"/>
      <c r="J311" s="20"/>
      <c r="K311" s="20" t="str">
        <f t="shared" si="1"/>
        <v/>
      </c>
    </row>
    <row r="312">
      <c r="A312" s="43"/>
      <c r="C312" s="17"/>
      <c r="D312" s="17"/>
      <c r="E312" s="17" t="str">
        <f>IF(D312="","",IFERROR(VLOOKUP(D312,COA!A:B,2,FALSE),"-"))</f>
        <v/>
      </c>
      <c r="F312" s="17"/>
      <c r="G312" s="17" t="str">
        <f>IF(F312="","",IFERROR(VLOOKUP(F312,COA!A:B,2,FALSE),"-"))</f>
        <v/>
      </c>
      <c r="H312" s="20"/>
      <c r="I312" s="20"/>
      <c r="J312" s="20"/>
      <c r="K312" s="20" t="str">
        <f t="shared" si="1"/>
        <v/>
      </c>
    </row>
    <row r="313">
      <c r="A313" s="43"/>
      <c r="C313" s="17"/>
      <c r="D313" s="17"/>
      <c r="E313" s="17" t="str">
        <f>IF(D313="","",IFERROR(VLOOKUP(D313,COA!A:B,2,FALSE),"-"))</f>
        <v/>
      </c>
      <c r="F313" s="17"/>
      <c r="G313" s="17" t="str">
        <f>IF(F313="","",IFERROR(VLOOKUP(F313,COA!A:B,2,FALSE),"-"))</f>
        <v/>
      </c>
      <c r="H313" s="20"/>
      <c r="I313" s="20"/>
      <c r="J313" s="20"/>
      <c r="K313" s="20" t="str">
        <f t="shared" si="1"/>
        <v/>
      </c>
    </row>
    <row r="314">
      <c r="A314" s="43"/>
      <c r="C314" s="17"/>
      <c r="D314" s="17"/>
      <c r="E314" s="17" t="str">
        <f>IF(D314="","",IFERROR(VLOOKUP(D314,COA!A:B,2,FALSE),"-"))</f>
        <v/>
      </c>
      <c r="F314" s="17"/>
      <c r="G314" s="17" t="str">
        <f>IF(F314="","",IFERROR(VLOOKUP(F314,COA!A:B,2,FALSE),"-"))</f>
        <v/>
      </c>
      <c r="H314" s="20"/>
      <c r="I314" s="20"/>
      <c r="J314" s="20"/>
      <c r="K314" s="20" t="str">
        <f t="shared" si="1"/>
        <v/>
      </c>
    </row>
    <row r="315">
      <c r="A315" s="43"/>
      <c r="C315" s="17"/>
      <c r="D315" s="17"/>
      <c r="E315" s="17" t="str">
        <f>IF(D315="","",IFERROR(VLOOKUP(D315,COA!A:B,2,FALSE),"-"))</f>
        <v/>
      </c>
      <c r="F315" s="17"/>
      <c r="G315" s="17" t="str">
        <f>IF(F315="","",IFERROR(VLOOKUP(F315,COA!A:B,2,FALSE),"-"))</f>
        <v/>
      </c>
      <c r="H315" s="20"/>
      <c r="I315" s="20"/>
      <c r="J315" s="20"/>
      <c r="K315" s="20" t="str">
        <f t="shared" si="1"/>
        <v/>
      </c>
    </row>
    <row r="316">
      <c r="A316" s="43"/>
      <c r="C316" s="17"/>
      <c r="D316" s="17"/>
      <c r="E316" s="17" t="str">
        <f>IF(D316="","",IFERROR(VLOOKUP(D316,COA!A:B,2,FALSE),"-"))</f>
        <v/>
      </c>
      <c r="F316" s="17"/>
      <c r="G316" s="17" t="str">
        <f>IF(F316="","",IFERROR(VLOOKUP(F316,COA!A:B,2,FALSE),"-"))</f>
        <v/>
      </c>
      <c r="H316" s="20"/>
      <c r="I316" s="20"/>
      <c r="J316" s="20"/>
      <c r="K316" s="20" t="str">
        <f t="shared" si="1"/>
        <v/>
      </c>
    </row>
    <row r="317">
      <c r="A317" s="43"/>
      <c r="C317" s="17"/>
      <c r="D317" s="17"/>
      <c r="E317" s="17" t="str">
        <f>IF(D317="","",IFERROR(VLOOKUP(D317,COA!A:B,2,FALSE),"-"))</f>
        <v/>
      </c>
      <c r="F317" s="17"/>
      <c r="G317" s="17" t="str">
        <f>IF(F317="","",IFERROR(VLOOKUP(F317,COA!A:B,2,FALSE),"-"))</f>
        <v/>
      </c>
      <c r="H317" s="20"/>
      <c r="I317" s="20"/>
      <c r="J317" s="20"/>
      <c r="K317" s="20" t="str">
        <f t="shared" si="1"/>
        <v/>
      </c>
    </row>
    <row r="318">
      <c r="A318" s="43"/>
      <c r="C318" s="17"/>
      <c r="D318" s="17"/>
      <c r="E318" s="17" t="str">
        <f>IF(D318="","",IFERROR(VLOOKUP(D318,COA!A:B,2,FALSE),"-"))</f>
        <v/>
      </c>
      <c r="F318" s="17"/>
      <c r="G318" s="17" t="str">
        <f>IF(F318="","",IFERROR(VLOOKUP(F318,COA!A:B,2,FALSE),"-"))</f>
        <v/>
      </c>
      <c r="H318" s="20"/>
      <c r="I318" s="20"/>
      <c r="J318" s="20"/>
      <c r="K318" s="20" t="str">
        <f t="shared" si="1"/>
        <v/>
      </c>
    </row>
    <row r="319">
      <c r="A319" s="43"/>
      <c r="C319" s="17"/>
      <c r="D319" s="17"/>
      <c r="E319" s="17" t="str">
        <f>IF(D319="","",IFERROR(VLOOKUP(D319,COA!A:B,2,FALSE),"-"))</f>
        <v/>
      </c>
      <c r="F319" s="17"/>
      <c r="G319" s="17" t="str">
        <f>IF(F319="","",IFERROR(VLOOKUP(F319,COA!A:B,2,FALSE),"-"))</f>
        <v/>
      </c>
      <c r="H319" s="20"/>
      <c r="I319" s="20"/>
      <c r="J319" s="20"/>
      <c r="K319" s="20" t="str">
        <f t="shared" si="1"/>
        <v/>
      </c>
    </row>
    <row r="320">
      <c r="A320" s="43"/>
      <c r="C320" s="17"/>
      <c r="D320" s="17"/>
      <c r="E320" s="17" t="str">
        <f>IF(D320="","",IFERROR(VLOOKUP(D320,COA!A:B,2,FALSE),"-"))</f>
        <v/>
      </c>
      <c r="F320" s="17"/>
      <c r="G320" s="17" t="str">
        <f>IF(F320="","",IFERROR(VLOOKUP(F320,COA!A:B,2,FALSE),"-"))</f>
        <v/>
      </c>
      <c r="H320" s="20"/>
      <c r="I320" s="20"/>
      <c r="J320" s="20"/>
      <c r="K320" s="20" t="str">
        <f t="shared" si="1"/>
        <v/>
      </c>
    </row>
    <row r="321">
      <c r="A321" s="43"/>
      <c r="C321" s="17"/>
      <c r="D321" s="17"/>
      <c r="E321" s="17" t="str">
        <f>IF(D321="","",IFERROR(VLOOKUP(D321,COA!A:B,2,FALSE),"-"))</f>
        <v/>
      </c>
      <c r="F321" s="17"/>
      <c r="G321" s="17" t="str">
        <f>IF(F321="","",IFERROR(VLOOKUP(F321,COA!A:B,2,FALSE),"-"))</f>
        <v/>
      </c>
      <c r="H321" s="20"/>
      <c r="I321" s="20"/>
      <c r="J321" s="20"/>
      <c r="K321" s="20" t="str">
        <f t="shared" si="1"/>
        <v/>
      </c>
    </row>
    <row r="322">
      <c r="A322" s="43"/>
      <c r="C322" s="17"/>
      <c r="D322" s="17"/>
      <c r="E322" s="17" t="str">
        <f>IF(D322="","",IFERROR(VLOOKUP(D322,COA!A:B,2,FALSE),"-"))</f>
        <v/>
      </c>
      <c r="F322" s="17"/>
      <c r="G322" s="17" t="str">
        <f>IF(F322="","",IFERROR(VLOOKUP(F322,COA!A:B,2,FALSE),"-"))</f>
        <v/>
      </c>
      <c r="H322" s="20"/>
      <c r="I322" s="20"/>
      <c r="J322" s="20"/>
      <c r="K322" s="20" t="str">
        <f t="shared" si="1"/>
        <v/>
      </c>
    </row>
    <row r="323">
      <c r="A323" s="43"/>
      <c r="C323" s="17"/>
      <c r="D323" s="17"/>
      <c r="E323" s="17" t="str">
        <f>IF(D323="","",IFERROR(VLOOKUP(D323,COA!A:B,2,FALSE),"-"))</f>
        <v/>
      </c>
      <c r="F323" s="17"/>
      <c r="G323" s="17" t="str">
        <f>IF(F323="","",IFERROR(VLOOKUP(F323,COA!A:B,2,FALSE),"-"))</f>
        <v/>
      </c>
      <c r="H323" s="20"/>
      <c r="I323" s="20"/>
      <c r="J323" s="20"/>
      <c r="K323" s="20" t="str">
        <f t="shared" si="1"/>
        <v/>
      </c>
    </row>
    <row r="324">
      <c r="A324" s="43"/>
      <c r="C324" s="17"/>
      <c r="D324" s="17"/>
      <c r="E324" s="17" t="str">
        <f>IF(D324="","",IFERROR(VLOOKUP(D324,COA!A:B,2,FALSE),"-"))</f>
        <v/>
      </c>
      <c r="F324" s="17"/>
      <c r="G324" s="17" t="str">
        <f>IF(F324="","",IFERROR(VLOOKUP(F324,COA!A:B,2,FALSE),"-"))</f>
        <v/>
      </c>
      <c r="H324" s="20"/>
      <c r="I324" s="20"/>
      <c r="J324" s="20"/>
      <c r="K324" s="20" t="str">
        <f t="shared" si="1"/>
        <v/>
      </c>
    </row>
    <row r="325">
      <c r="A325" s="43"/>
      <c r="C325" s="17"/>
      <c r="D325" s="17"/>
      <c r="E325" s="17" t="str">
        <f>IF(D325="","",IFERROR(VLOOKUP(D325,COA!A:B,2,FALSE),"-"))</f>
        <v/>
      </c>
      <c r="F325" s="17"/>
      <c r="G325" s="17" t="str">
        <f>IF(F325="","",IFERROR(VLOOKUP(F325,COA!A:B,2,FALSE),"-"))</f>
        <v/>
      </c>
      <c r="H325" s="20"/>
      <c r="I325" s="20"/>
      <c r="J325" s="20"/>
      <c r="K325" s="20" t="str">
        <f t="shared" si="1"/>
        <v/>
      </c>
    </row>
    <row r="326">
      <c r="A326" s="43"/>
      <c r="C326" s="17"/>
      <c r="D326" s="17"/>
      <c r="E326" s="17" t="str">
        <f>IF(D326="","",IFERROR(VLOOKUP(D326,COA!A:B,2,FALSE),"-"))</f>
        <v/>
      </c>
      <c r="F326" s="17"/>
      <c r="G326" s="17" t="str">
        <f>IF(F326="","",IFERROR(VLOOKUP(F326,COA!A:B,2,FALSE),"-"))</f>
        <v/>
      </c>
      <c r="H326" s="20"/>
      <c r="I326" s="20"/>
      <c r="J326" s="20"/>
      <c r="K326" s="20" t="str">
        <f t="shared" si="1"/>
        <v/>
      </c>
    </row>
    <row r="327">
      <c r="A327" s="43"/>
      <c r="C327" s="17"/>
      <c r="D327" s="17"/>
      <c r="E327" s="17" t="str">
        <f>IF(D327="","",IFERROR(VLOOKUP(D327,COA!A:B,2,FALSE),"-"))</f>
        <v/>
      </c>
      <c r="F327" s="17"/>
      <c r="G327" s="17" t="str">
        <f>IF(F327="","",IFERROR(VLOOKUP(F327,COA!A:B,2,FALSE),"-"))</f>
        <v/>
      </c>
      <c r="H327" s="20"/>
      <c r="I327" s="20"/>
      <c r="J327" s="20"/>
      <c r="K327" s="20" t="str">
        <f t="shared" si="1"/>
        <v/>
      </c>
    </row>
    <row r="328">
      <c r="A328" s="43"/>
      <c r="C328" s="17"/>
      <c r="D328" s="17"/>
      <c r="E328" s="17" t="str">
        <f>IF(D328="","",IFERROR(VLOOKUP(D328,COA!A:B,2,FALSE),"-"))</f>
        <v/>
      </c>
      <c r="F328" s="17"/>
      <c r="G328" s="17" t="str">
        <f>IF(F328="","",IFERROR(VLOOKUP(F328,COA!A:B,2,FALSE),"-"))</f>
        <v/>
      </c>
      <c r="H328" s="20"/>
      <c r="I328" s="20"/>
      <c r="J328" s="20"/>
      <c r="K328" s="20" t="str">
        <f t="shared" si="1"/>
        <v/>
      </c>
    </row>
    <row r="329">
      <c r="A329" s="43"/>
      <c r="C329" s="17"/>
      <c r="D329" s="17"/>
      <c r="E329" s="17" t="str">
        <f>IF(D329="","",IFERROR(VLOOKUP(D329,COA!A:B,2,FALSE),"-"))</f>
        <v/>
      </c>
      <c r="F329" s="17"/>
      <c r="G329" s="17" t="str">
        <f>IF(F329="","",IFERROR(VLOOKUP(F329,COA!A:B,2,FALSE),"-"))</f>
        <v/>
      </c>
      <c r="H329" s="20"/>
      <c r="I329" s="20"/>
      <c r="J329" s="20"/>
      <c r="K329" s="20" t="str">
        <f t="shared" si="1"/>
        <v/>
      </c>
    </row>
    <row r="330">
      <c r="A330" s="43"/>
      <c r="C330" s="17"/>
      <c r="D330" s="17"/>
      <c r="E330" s="17" t="str">
        <f>IF(D330="","",IFERROR(VLOOKUP(D330,COA!A:B,2,FALSE),"-"))</f>
        <v/>
      </c>
      <c r="F330" s="17"/>
      <c r="G330" s="17" t="str">
        <f>IF(F330="","",IFERROR(VLOOKUP(F330,COA!A:B,2,FALSE),"-"))</f>
        <v/>
      </c>
      <c r="H330" s="20"/>
      <c r="I330" s="20"/>
      <c r="J330" s="20"/>
      <c r="K330" s="20" t="str">
        <f t="shared" si="1"/>
        <v/>
      </c>
    </row>
    <row r="331">
      <c r="A331" s="43"/>
      <c r="C331" s="17"/>
      <c r="D331" s="17"/>
      <c r="E331" s="17" t="str">
        <f>IF(D331="","",IFERROR(VLOOKUP(D331,COA!A:B,2,FALSE),"-"))</f>
        <v/>
      </c>
      <c r="F331" s="17"/>
      <c r="G331" s="17" t="str">
        <f>IF(F331="","",IFERROR(VLOOKUP(F331,COA!A:B,2,FALSE),"-"))</f>
        <v/>
      </c>
      <c r="H331" s="20"/>
      <c r="I331" s="20"/>
      <c r="J331" s="20"/>
      <c r="K331" s="20" t="str">
        <f t="shared" si="1"/>
        <v/>
      </c>
    </row>
    <row r="332">
      <c r="A332" s="43"/>
      <c r="C332" s="17"/>
      <c r="D332" s="17"/>
      <c r="E332" s="17" t="str">
        <f>IF(D332="","",IFERROR(VLOOKUP(D332,COA!A:B,2,FALSE),"-"))</f>
        <v/>
      </c>
      <c r="F332" s="17"/>
      <c r="G332" s="17" t="str">
        <f>IF(F332="","",IFERROR(VLOOKUP(F332,COA!A:B,2,FALSE),"-"))</f>
        <v/>
      </c>
      <c r="H332" s="20"/>
      <c r="I332" s="20"/>
      <c r="J332" s="20"/>
      <c r="K332" s="20" t="str">
        <f t="shared" si="1"/>
        <v/>
      </c>
    </row>
    <row r="333">
      <c r="A333" s="43"/>
      <c r="C333" s="17"/>
      <c r="D333" s="17"/>
      <c r="E333" s="17" t="str">
        <f>IF(D333="","",IFERROR(VLOOKUP(D333,COA!A:B,2,FALSE),"-"))</f>
        <v/>
      </c>
      <c r="F333" s="17"/>
      <c r="G333" s="17" t="str">
        <f>IF(F333="","",IFERROR(VLOOKUP(F333,COA!A:B,2,FALSE),"-"))</f>
        <v/>
      </c>
      <c r="H333" s="20"/>
      <c r="I333" s="20"/>
      <c r="J333" s="20"/>
      <c r="K333" s="20" t="str">
        <f t="shared" si="1"/>
        <v/>
      </c>
    </row>
    <row r="334">
      <c r="A334" s="43"/>
      <c r="C334" s="17"/>
      <c r="D334" s="17"/>
      <c r="E334" s="17" t="str">
        <f>IF(D334="","",IFERROR(VLOOKUP(D334,COA!A:B,2,FALSE),"-"))</f>
        <v/>
      </c>
      <c r="F334" s="17"/>
      <c r="G334" s="17" t="str">
        <f>IF(F334="","",IFERROR(VLOOKUP(F334,COA!A:B,2,FALSE),"-"))</f>
        <v/>
      </c>
      <c r="H334" s="20"/>
      <c r="I334" s="20"/>
      <c r="J334" s="20"/>
      <c r="K334" s="20" t="str">
        <f t="shared" si="1"/>
        <v/>
      </c>
    </row>
    <row r="335">
      <c r="A335" s="43"/>
      <c r="C335" s="17"/>
      <c r="D335" s="17"/>
      <c r="E335" s="17" t="str">
        <f>IF(D335="","",IFERROR(VLOOKUP(D335,COA!A:B,2,FALSE),"-"))</f>
        <v/>
      </c>
      <c r="F335" s="17"/>
      <c r="G335" s="17" t="str">
        <f>IF(F335="","",IFERROR(VLOOKUP(F335,COA!A:B,2,FALSE),"-"))</f>
        <v/>
      </c>
      <c r="H335" s="20"/>
      <c r="I335" s="20"/>
      <c r="J335" s="20"/>
      <c r="K335" s="20" t="str">
        <f t="shared" si="1"/>
        <v/>
      </c>
    </row>
    <row r="336">
      <c r="A336" s="43"/>
      <c r="C336" s="17"/>
      <c r="D336" s="17"/>
      <c r="E336" s="17" t="str">
        <f>IF(D336="","",IFERROR(VLOOKUP(D336,COA!A:B,2,FALSE),"-"))</f>
        <v/>
      </c>
      <c r="F336" s="17"/>
      <c r="G336" s="17" t="str">
        <f>IF(F336="","",IFERROR(VLOOKUP(F336,COA!A:B,2,FALSE),"-"))</f>
        <v/>
      </c>
      <c r="H336" s="20"/>
      <c r="I336" s="20"/>
      <c r="J336" s="20"/>
      <c r="K336" s="20" t="str">
        <f t="shared" si="1"/>
        <v/>
      </c>
    </row>
    <row r="337">
      <c r="A337" s="43"/>
      <c r="C337" s="17"/>
      <c r="D337" s="17"/>
      <c r="E337" s="17" t="str">
        <f>IF(D337="","",IFERROR(VLOOKUP(D337,COA!A:B,2,FALSE),"-"))</f>
        <v/>
      </c>
      <c r="F337" s="17"/>
      <c r="G337" s="17" t="str">
        <f>IF(F337="","",IFERROR(VLOOKUP(F337,COA!A:B,2,FALSE),"-"))</f>
        <v/>
      </c>
      <c r="H337" s="20"/>
      <c r="I337" s="20"/>
      <c r="J337" s="20"/>
      <c r="K337" s="20" t="str">
        <f t="shared" si="1"/>
        <v/>
      </c>
    </row>
    <row r="338">
      <c r="A338" s="43"/>
      <c r="C338" s="17"/>
      <c r="D338" s="17"/>
      <c r="E338" s="17" t="str">
        <f>IF(D338="","",IFERROR(VLOOKUP(D338,COA!A:B,2,FALSE),"-"))</f>
        <v/>
      </c>
      <c r="F338" s="17"/>
      <c r="G338" s="17" t="str">
        <f>IF(F338="","",IFERROR(VLOOKUP(F338,COA!A:B,2,FALSE),"-"))</f>
        <v/>
      </c>
      <c r="H338" s="20"/>
      <c r="I338" s="20"/>
      <c r="J338" s="20"/>
      <c r="K338" s="20" t="str">
        <f t="shared" si="1"/>
        <v/>
      </c>
    </row>
    <row r="339">
      <c r="A339" s="43"/>
      <c r="C339" s="17"/>
      <c r="D339" s="17"/>
      <c r="E339" s="17" t="str">
        <f>IF(D339="","",IFERROR(VLOOKUP(D339,COA!A:B,2,FALSE),"-"))</f>
        <v/>
      </c>
      <c r="F339" s="17"/>
      <c r="G339" s="17" t="str">
        <f>IF(F339="","",IFERROR(VLOOKUP(F339,COA!A:B,2,FALSE),"-"))</f>
        <v/>
      </c>
      <c r="H339" s="20"/>
      <c r="I339" s="20"/>
      <c r="J339" s="20"/>
      <c r="K339" s="20" t="str">
        <f t="shared" si="1"/>
        <v/>
      </c>
    </row>
    <row r="340">
      <c r="A340" s="43"/>
      <c r="C340" s="17"/>
      <c r="D340" s="17"/>
      <c r="E340" s="17" t="str">
        <f>IF(D340="","",IFERROR(VLOOKUP(D340,COA!A:B,2,FALSE),"-"))</f>
        <v/>
      </c>
      <c r="F340" s="17"/>
      <c r="G340" s="17" t="str">
        <f>IF(F340="","",IFERROR(VLOOKUP(F340,COA!A:B,2,FALSE),"-"))</f>
        <v/>
      </c>
      <c r="H340" s="20"/>
      <c r="I340" s="20"/>
      <c r="J340" s="20"/>
      <c r="K340" s="20" t="str">
        <f t="shared" si="1"/>
        <v/>
      </c>
    </row>
    <row r="341">
      <c r="A341" s="43"/>
      <c r="C341" s="17"/>
      <c r="D341" s="17"/>
      <c r="E341" s="17" t="str">
        <f>IF(D341="","",IFERROR(VLOOKUP(D341,COA!A:B,2,FALSE),"-"))</f>
        <v/>
      </c>
      <c r="F341" s="17"/>
      <c r="G341" s="17" t="str">
        <f>IF(F341="","",IFERROR(VLOOKUP(F341,COA!A:B,2,FALSE),"-"))</f>
        <v/>
      </c>
      <c r="H341" s="20"/>
      <c r="I341" s="20"/>
      <c r="J341" s="20"/>
      <c r="K341" s="20" t="str">
        <f t="shared" si="1"/>
        <v/>
      </c>
    </row>
    <row r="342">
      <c r="A342" s="43"/>
      <c r="C342" s="17"/>
      <c r="D342" s="17"/>
      <c r="E342" s="17" t="str">
        <f>IF(D342="","",IFERROR(VLOOKUP(D342,COA!A:B,2,FALSE),"-"))</f>
        <v/>
      </c>
      <c r="F342" s="17"/>
      <c r="G342" s="17" t="str">
        <f>IF(F342="","",IFERROR(VLOOKUP(F342,COA!A:B,2,FALSE),"-"))</f>
        <v/>
      </c>
      <c r="H342" s="20"/>
      <c r="I342" s="20"/>
      <c r="J342" s="20"/>
      <c r="K342" s="20" t="str">
        <f t="shared" si="1"/>
        <v/>
      </c>
    </row>
    <row r="343">
      <c r="A343" s="43"/>
      <c r="C343" s="17"/>
      <c r="D343" s="17"/>
      <c r="E343" s="17" t="str">
        <f>IF(D343="","",IFERROR(VLOOKUP(D343,COA!A:B,2,FALSE),"-"))</f>
        <v/>
      </c>
      <c r="F343" s="17"/>
      <c r="G343" s="17" t="str">
        <f>IF(F343="","",IFERROR(VLOOKUP(F343,COA!A:B,2,FALSE),"-"))</f>
        <v/>
      </c>
      <c r="H343" s="20"/>
      <c r="I343" s="20"/>
      <c r="J343" s="20"/>
      <c r="K343" s="20" t="str">
        <f t="shared" si="1"/>
        <v/>
      </c>
    </row>
    <row r="344">
      <c r="A344" s="43"/>
      <c r="C344" s="17"/>
      <c r="D344" s="17"/>
      <c r="E344" s="17" t="str">
        <f>IF(D344="","",IFERROR(VLOOKUP(D344,COA!A:B,2,FALSE),"-"))</f>
        <v/>
      </c>
      <c r="F344" s="17"/>
      <c r="G344" s="17" t="str">
        <f>IF(F344="","",IFERROR(VLOOKUP(F344,COA!A:B,2,FALSE),"-"))</f>
        <v/>
      </c>
      <c r="H344" s="20"/>
      <c r="I344" s="20"/>
      <c r="J344" s="20"/>
      <c r="K344" s="20" t="str">
        <f t="shared" si="1"/>
        <v/>
      </c>
    </row>
    <row r="345">
      <c r="A345" s="43"/>
      <c r="C345" s="17"/>
      <c r="D345" s="17"/>
      <c r="E345" s="17" t="str">
        <f>IF(D345="","",IFERROR(VLOOKUP(D345,COA!A:B,2,FALSE),"-"))</f>
        <v/>
      </c>
      <c r="F345" s="17"/>
      <c r="G345" s="17" t="str">
        <f>IF(F345="","",IFERROR(VLOOKUP(F345,COA!A:B,2,FALSE),"-"))</f>
        <v/>
      </c>
      <c r="H345" s="20"/>
      <c r="I345" s="20"/>
      <c r="J345" s="20"/>
      <c r="K345" s="20" t="str">
        <f t="shared" si="1"/>
        <v/>
      </c>
    </row>
    <row r="346">
      <c r="A346" s="43"/>
      <c r="C346" s="17"/>
      <c r="D346" s="17"/>
      <c r="E346" s="17" t="str">
        <f>IF(D346="","",IFERROR(VLOOKUP(D346,COA!A:B,2,FALSE),"-"))</f>
        <v/>
      </c>
      <c r="F346" s="17"/>
      <c r="G346" s="17" t="str">
        <f>IF(F346="","",IFERROR(VLOOKUP(F346,COA!A:B,2,FALSE),"-"))</f>
        <v/>
      </c>
      <c r="H346" s="20"/>
      <c r="I346" s="20"/>
      <c r="J346" s="20"/>
      <c r="K346" s="20" t="str">
        <f t="shared" si="1"/>
        <v/>
      </c>
    </row>
    <row r="347">
      <c r="A347" s="43"/>
      <c r="C347" s="17"/>
      <c r="D347" s="17"/>
      <c r="E347" s="17" t="str">
        <f>IF(D347="","",IFERROR(VLOOKUP(D347,COA!A:B,2,FALSE),"-"))</f>
        <v/>
      </c>
      <c r="F347" s="17"/>
      <c r="G347" s="17" t="str">
        <f>IF(F347="","",IFERROR(VLOOKUP(F347,COA!A:B,2,FALSE),"-"))</f>
        <v/>
      </c>
      <c r="H347" s="20"/>
      <c r="I347" s="20"/>
      <c r="J347" s="20"/>
      <c r="K347" s="20" t="str">
        <f t="shared" si="1"/>
        <v/>
      </c>
    </row>
    <row r="348">
      <c r="A348" s="43"/>
      <c r="C348" s="17"/>
      <c r="D348" s="17"/>
      <c r="E348" s="17" t="str">
        <f>IF(D348="","",IFERROR(VLOOKUP(D348,COA!A:B,2,FALSE),"-"))</f>
        <v/>
      </c>
      <c r="F348" s="17"/>
      <c r="G348" s="17" t="str">
        <f>IF(F348="","",IFERROR(VLOOKUP(F348,COA!A:B,2,FALSE),"-"))</f>
        <v/>
      </c>
      <c r="H348" s="20"/>
      <c r="I348" s="20"/>
      <c r="J348" s="20"/>
      <c r="K348" s="20" t="str">
        <f t="shared" si="1"/>
        <v/>
      </c>
    </row>
    <row r="349">
      <c r="A349" s="43"/>
      <c r="C349" s="17"/>
      <c r="D349" s="17"/>
      <c r="E349" s="17" t="str">
        <f>IF(D349="","",IFERROR(VLOOKUP(D349,COA!A:B,2,FALSE),"-"))</f>
        <v/>
      </c>
      <c r="F349" s="17"/>
      <c r="G349" s="17" t="str">
        <f>IF(F349="","",IFERROR(VLOOKUP(F349,COA!A:B,2,FALSE),"-"))</f>
        <v/>
      </c>
      <c r="H349" s="20"/>
      <c r="I349" s="20"/>
      <c r="J349" s="20"/>
      <c r="K349" s="20" t="str">
        <f t="shared" si="1"/>
        <v/>
      </c>
    </row>
    <row r="350">
      <c r="A350" s="43"/>
      <c r="C350" s="17"/>
      <c r="D350" s="17"/>
      <c r="E350" s="17" t="str">
        <f>IF(D350="","",IFERROR(VLOOKUP(D350,COA!A:B,2,FALSE),"-"))</f>
        <v/>
      </c>
      <c r="F350" s="17"/>
      <c r="G350" s="17" t="str">
        <f>IF(F350="","",IFERROR(VLOOKUP(F350,COA!A:B,2,FALSE),"-"))</f>
        <v/>
      </c>
      <c r="H350" s="20"/>
      <c r="I350" s="20"/>
      <c r="J350" s="20"/>
      <c r="K350" s="20" t="str">
        <f t="shared" si="1"/>
        <v/>
      </c>
    </row>
    <row r="351">
      <c r="A351" s="43"/>
      <c r="C351" s="17"/>
      <c r="D351" s="17"/>
      <c r="E351" s="17" t="str">
        <f>IF(D351="","",IFERROR(VLOOKUP(D351,COA!A:B,2,FALSE),"-"))</f>
        <v/>
      </c>
      <c r="F351" s="17"/>
      <c r="G351" s="17" t="str">
        <f>IF(F351="","",IFERROR(VLOOKUP(F351,COA!A:B,2,FALSE),"-"))</f>
        <v/>
      </c>
      <c r="H351" s="20"/>
      <c r="I351" s="20"/>
      <c r="J351" s="20"/>
      <c r="K351" s="20" t="str">
        <f t="shared" si="1"/>
        <v/>
      </c>
    </row>
    <row r="352">
      <c r="A352" s="43"/>
      <c r="C352" s="17"/>
      <c r="D352" s="17"/>
      <c r="E352" s="17" t="str">
        <f>IF(D352="","",IFERROR(VLOOKUP(D352,COA!A:B,2,FALSE),"-"))</f>
        <v/>
      </c>
      <c r="F352" s="17"/>
      <c r="G352" s="17" t="str">
        <f>IF(F352="","",IFERROR(VLOOKUP(F352,COA!A:B,2,FALSE),"-"))</f>
        <v/>
      </c>
      <c r="H352" s="20"/>
      <c r="I352" s="20"/>
      <c r="J352" s="20"/>
      <c r="K352" s="20" t="str">
        <f t="shared" si="1"/>
        <v/>
      </c>
    </row>
    <row r="353">
      <c r="A353" s="43"/>
      <c r="C353" s="17"/>
      <c r="D353" s="17"/>
      <c r="E353" s="17" t="str">
        <f>IF(D353="","",IFERROR(VLOOKUP(D353,COA!A:B,2,FALSE),"-"))</f>
        <v/>
      </c>
      <c r="F353" s="17"/>
      <c r="G353" s="17" t="str">
        <f>IF(F353="","",IFERROR(VLOOKUP(F353,COA!A:B,2,FALSE),"-"))</f>
        <v/>
      </c>
      <c r="H353" s="20"/>
      <c r="I353" s="20"/>
      <c r="J353" s="20"/>
      <c r="K353" s="20" t="str">
        <f t="shared" si="1"/>
        <v/>
      </c>
    </row>
    <row r="354">
      <c r="A354" s="43"/>
      <c r="C354" s="17"/>
      <c r="D354" s="17"/>
      <c r="E354" s="17" t="str">
        <f>IF(D354="","",IFERROR(VLOOKUP(D354,COA!A:B,2,FALSE),"-"))</f>
        <v/>
      </c>
      <c r="F354" s="17"/>
      <c r="G354" s="17" t="str">
        <f>IF(F354="","",IFERROR(VLOOKUP(F354,COA!A:B,2,FALSE),"-"))</f>
        <v/>
      </c>
      <c r="H354" s="20"/>
      <c r="I354" s="20"/>
      <c r="J354" s="20"/>
      <c r="K354" s="20" t="str">
        <f t="shared" si="1"/>
        <v/>
      </c>
    </row>
    <row r="355">
      <c r="A355" s="43"/>
      <c r="C355" s="17"/>
      <c r="D355" s="17"/>
      <c r="E355" s="17" t="str">
        <f>IF(D355="","",IFERROR(VLOOKUP(D355,COA!A:B,2,FALSE),"-"))</f>
        <v/>
      </c>
      <c r="F355" s="17"/>
      <c r="G355" s="17" t="str">
        <f>IF(F355="","",IFERROR(VLOOKUP(F355,COA!A:B,2,FALSE),"-"))</f>
        <v/>
      </c>
      <c r="H355" s="20"/>
      <c r="I355" s="20"/>
      <c r="J355" s="20"/>
      <c r="K355" s="20" t="str">
        <f t="shared" si="1"/>
        <v/>
      </c>
    </row>
    <row r="356">
      <c r="A356" s="43"/>
      <c r="C356" s="17"/>
      <c r="D356" s="17"/>
      <c r="E356" s="17" t="str">
        <f>IF(D356="","",IFERROR(VLOOKUP(D356,COA!A:B,2,FALSE),"-"))</f>
        <v/>
      </c>
      <c r="F356" s="17"/>
      <c r="G356" s="17" t="str">
        <f>IF(F356="","",IFERROR(VLOOKUP(F356,COA!A:B,2,FALSE),"-"))</f>
        <v/>
      </c>
      <c r="H356" s="20"/>
      <c r="I356" s="20"/>
      <c r="J356" s="20"/>
      <c r="K356" s="20" t="str">
        <f t="shared" si="1"/>
        <v/>
      </c>
    </row>
    <row r="357">
      <c r="A357" s="43"/>
      <c r="C357" s="17"/>
      <c r="D357" s="17"/>
      <c r="E357" s="17" t="str">
        <f>IF(D357="","",IFERROR(VLOOKUP(D357,COA!A:B,2,FALSE),"-"))</f>
        <v/>
      </c>
      <c r="F357" s="17"/>
      <c r="G357" s="17" t="str">
        <f>IF(F357="","",IFERROR(VLOOKUP(F357,COA!A:B,2,FALSE),"-"))</f>
        <v/>
      </c>
      <c r="H357" s="20"/>
      <c r="I357" s="20"/>
      <c r="J357" s="20"/>
      <c r="K357" s="20" t="str">
        <f t="shared" si="1"/>
        <v/>
      </c>
    </row>
    <row r="358">
      <c r="A358" s="43"/>
      <c r="C358" s="17"/>
      <c r="D358" s="17"/>
      <c r="E358" s="17" t="str">
        <f>IF(D358="","",IFERROR(VLOOKUP(D358,COA!A:B,2,FALSE),"-"))</f>
        <v/>
      </c>
      <c r="F358" s="17"/>
      <c r="G358" s="17" t="str">
        <f>IF(F358="","",IFERROR(VLOOKUP(F358,COA!A:B,2,FALSE),"-"))</f>
        <v/>
      </c>
      <c r="H358" s="20"/>
      <c r="I358" s="20"/>
      <c r="J358" s="20"/>
      <c r="K358" s="20" t="str">
        <f t="shared" si="1"/>
        <v/>
      </c>
    </row>
    <row r="359">
      <c r="A359" s="43"/>
      <c r="C359" s="17"/>
      <c r="D359" s="17"/>
      <c r="E359" s="17" t="str">
        <f>IF(D359="","",IFERROR(VLOOKUP(D359,COA!A:B,2,FALSE),"-"))</f>
        <v/>
      </c>
      <c r="F359" s="17"/>
      <c r="G359" s="17" t="str">
        <f>IF(F359="","",IFERROR(VLOOKUP(F359,COA!A:B,2,FALSE),"-"))</f>
        <v/>
      </c>
      <c r="H359" s="20"/>
      <c r="I359" s="20"/>
      <c r="J359" s="20"/>
      <c r="K359" s="20" t="str">
        <f t="shared" si="1"/>
        <v/>
      </c>
    </row>
    <row r="360">
      <c r="A360" s="43"/>
      <c r="C360" s="17"/>
      <c r="D360" s="17"/>
      <c r="E360" s="17" t="str">
        <f>IF(D360="","",IFERROR(VLOOKUP(D360,COA!A:B,2,FALSE),"-"))</f>
        <v/>
      </c>
      <c r="F360" s="17"/>
      <c r="G360" s="17" t="str">
        <f>IF(F360="","",IFERROR(VLOOKUP(F360,COA!A:B,2,FALSE),"-"))</f>
        <v/>
      </c>
      <c r="H360" s="20"/>
      <c r="I360" s="20"/>
      <c r="J360" s="20"/>
      <c r="K360" s="20" t="str">
        <f t="shared" si="1"/>
        <v/>
      </c>
    </row>
    <row r="361">
      <c r="A361" s="43"/>
      <c r="C361" s="17"/>
      <c r="D361" s="17"/>
      <c r="E361" s="17" t="str">
        <f>IF(D361="","",IFERROR(VLOOKUP(D361,COA!A:B,2,FALSE),"-"))</f>
        <v/>
      </c>
      <c r="F361" s="17"/>
      <c r="G361" s="17" t="str">
        <f>IF(F361="","",IFERROR(VLOOKUP(F361,COA!A:B,2,FALSE),"-"))</f>
        <v/>
      </c>
      <c r="H361" s="20"/>
      <c r="I361" s="20"/>
      <c r="J361" s="20"/>
      <c r="K361" s="20" t="str">
        <f t="shared" si="1"/>
        <v/>
      </c>
    </row>
    <row r="362">
      <c r="A362" s="43"/>
      <c r="C362" s="17"/>
      <c r="D362" s="17"/>
      <c r="E362" s="17" t="str">
        <f>IF(D362="","",IFERROR(VLOOKUP(D362,COA!A:B,2,FALSE),"-"))</f>
        <v/>
      </c>
      <c r="F362" s="17"/>
      <c r="G362" s="17" t="str">
        <f>IF(F362="","",IFERROR(VLOOKUP(F362,COA!A:B,2,FALSE),"-"))</f>
        <v/>
      </c>
      <c r="H362" s="20"/>
      <c r="I362" s="20"/>
      <c r="J362" s="20"/>
      <c r="K362" s="20" t="str">
        <f t="shared" si="1"/>
        <v/>
      </c>
    </row>
    <row r="363">
      <c r="A363" s="43"/>
      <c r="C363" s="17"/>
      <c r="D363" s="17"/>
      <c r="E363" s="17" t="str">
        <f>IF(D363="","",IFERROR(VLOOKUP(D363,COA!A:B,2,FALSE),"-"))</f>
        <v/>
      </c>
      <c r="F363" s="17"/>
      <c r="G363" s="17" t="str">
        <f>IF(F363="","",IFERROR(VLOOKUP(F363,COA!A:B,2,FALSE),"-"))</f>
        <v/>
      </c>
      <c r="H363" s="20"/>
      <c r="I363" s="20"/>
      <c r="J363" s="20"/>
      <c r="K363" s="20" t="str">
        <f t="shared" si="1"/>
        <v/>
      </c>
    </row>
    <row r="364">
      <c r="A364" s="43"/>
      <c r="C364" s="17"/>
      <c r="D364" s="17"/>
      <c r="E364" s="17" t="str">
        <f>IF(D364="","",IFERROR(VLOOKUP(D364,COA!A:B,2,FALSE),"-"))</f>
        <v/>
      </c>
      <c r="F364" s="17"/>
      <c r="G364" s="17" t="str">
        <f>IF(F364="","",IFERROR(VLOOKUP(F364,COA!A:B,2,FALSE),"-"))</f>
        <v/>
      </c>
      <c r="H364" s="20"/>
      <c r="I364" s="20"/>
      <c r="J364" s="20"/>
      <c r="K364" s="20" t="str">
        <f t="shared" si="1"/>
        <v/>
      </c>
    </row>
    <row r="365">
      <c r="A365" s="43"/>
      <c r="C365" s="17"/>
      <c r="D365" s="17"/>
      <c r="E365" s="17" t="str">
        <f>IF(D365="","",IFERROR(VLOOKUP(D365,COA!A:B,2,FALSE),"-"))</f>
        <v/>
      </c>
      <c r="F365" s="17"/>
      <c r="G365" s="17" t="str">
        <f>IF(F365="","",IFERROR(VLOOKUP(F365,COA!A:B,2,FALSE),"-"))</f>
        <v/>
      </c>
      <c r="H365" s="20"/>
      <c r="I365" s="20"/>
      <c r="J365" s="20"/>
      <c r="K365" s="20" t="str">
        <f t="shared" si="1"/>
        <v/>
      </c>
    </row>
    <row r="366">
      <c r="A366" s="43"/>
      <c r="C366" s="17"/>
      <c r="D366" s="17"/>
      <c r="E366" s="17" t="str">
        <f>IF(D366="","",IFERROR(VLOOKUP(D366,COA!A:B,2,FALSE),"-"))</f>
        <v/>
      </c>
      <c r="F366" s="17"/>
      <c r="G366" s="17" t="str">
        <f>IF(F366="","",IFERROR(VLOOKUP(F366,COA!A:B,2,FALSE),"-"))</f>
        <v/>
      </c>
      <c r="H366" s="20"/>
      <c r="I366" s="20"/>
      <c r="J366" s="20"/>
      <c r="K366" s="20" t="str">
        <f t="shared" si="1"/>
        <v/>
      </c>
    </row>
    <row r="367">
      <c r="A367" s="43"/>
      <c r="C367" s="17"/>
      <c r="D367" s="17"/>
      <c r="E367" s="17" t="str">
        <f>IF(D367="","",IFERROR(VLOOKUP(D367,COA!A:B,2,FALSE),"-"))</f>
        <v/>
      </c>
      <c r="F367" s="17"/>
      <c r="G367" s="17" t="str">
        <f>IF(F367="","",IFERROR(VLOOKUP(F367,COA!A:B,2,FALSE),"-"))</f>
        <v/>
      </c>
      <c r="H367" s="20"/>
      <c r="I367" s="20"/>
      <c r="J367" s="20"/>
      <c r="K367" s="20" t="str">
        <f t="shared" si="1"/>
        <v/>
      </c>
    </row>
    <row r="368">
      <c r="A368" s="43"/>
      <c r="C368" s="17"/>
      <c r="D368" s="17"/>
      <c r="E368" s="17" t="str">
        <f>IF(D368="","",IFERROR(VLOOKUP(D368,COA!A:B,2,FALSE),"-"))</f>
        <v/>
      </c>
      <c r="F368" s="17"/>
      <c r="G368" s="17" t="str">
        <f>IF(F368="","",IFERROR(VLOOKUP(F368,COA!A:B,2,FALSE),"-"))</f>
        <v/>
      </c>
      <c r="H368" s="20"/>
      <c r="I368" s="20"/>
      <c r="J368" s="20"/>
      <c r="K368" s="20" t="str">
        <f t="shared" si="1"/>
        <v/>
      </c>
    </row>
    <row r="369">
      <c r="A369" s="43"/>
      <c r="C369" s="17"/>
      <c r="D369" s="17"/>
      <c r="E369" s="17" t="str">
        <f>IF(D369="","",IFERROR(VLOOKUP(D369,COA!A:B,2,FALSE),"-"))</f>
        <v/>
      </c>
      <c r="F369" s="17"/>
      <c r="G369" s="17" t="str">
        <f>IF(F369="","",IFERROR(VLOOKUP(F369,COA!A:B,2,FALSE),"-"))</f>
        <v/>
      </c>
      <c r="H369" s="20"/>
      <c r="I369" s="20"/>
      <c r="J369" s="20"/>
      <c r="K369" s="20" t="str">
        <f t="shared" si="1"/>
        <v/>
      </c>
    </row>
    <row r="370">
      <c r="A370" s="43"/>
      <c r="C370" s="17"/>
      <c r="D370" s="17"/>
      <c r="E370" s="17" t="str">
        <f>IF(D370="","",IFERROR(VLOOKUP(D370,COA!A:B,2,FALSE),"-"))</f>
        <v/>
      </c>
      <c r="F370" s="17"/>
      <c r="G370" s="17" t="str">
        <f>IF(F370="","",IFERROR(VLOOKUP(F370,COA!A:B,2,FALSE),"-"))</f>
        <v/>
      </c>
      <c r="H370" s="20"/>
      <c r="I370" s="20"/>
      <c r="J370" s="20"/>
      <c r="K370" s="20" t="str">
        <f t="shared" si="1"/>
        <v/>
      </c>
    </row>
    <row r="371">
      <c r="A371" s="43"/>
      <c r="C371" s="17"/>
      <c r="D371" s="17"/>
      <c r="E371" s="17" t="str">
        <f>IF(D371="","",IFERROR(VLOOKUP(D371,COA!A:B,2,FALSE),"-"))</f>
        <v/>
      </c>
      <c r="F371" s="17"/>
      <c r="G371" s="17" t="str">
        <f>IF(F371="","",IFERROR(VLOOKUP(F371,COA!A:B,2,FALSE),"-"))</f>
        <v/>
      </c>
      <c r="H371" s="20"/>
      <c r="I371" s="20"/>
      <c r="J371" s="20"/>
      <c r="K371" s="20" t="str">
        <f t="shared" si="1"/>
        <v/>
      </c>
    </row>
    <row r="372">
      <c r="A372" s="43"/>
      <c r="C372" s="17"/>
      <c r="D372" s="17"/>
      <c r="E372" s="17" t="str">
        <f>IF(D372="","",IFERROR(VLOOKUP(D372,COA!A:B,2,FALSE),"-"))</f>
        <v/>
      </c>
      <c r="F372" s="17"/>
      <c r="G372" s="17" t="str">
        <f>IF(F372="","",IFERROR(VLOOKUP(F372,COA!A:B,2,FALSE),"-"))</f>
        <v/>
      </c>
      <c r="H372" s="20"/>
      <c r="I372" s="20"/>
      <c r="J372" s="20"/>
      <c r="K372" s="20" t="str">
        <f t="shared" si="1"/>
        <v/>
      </c>
    </row>
    <row r="373">
      <c r="A373" s="43"/>
      <c r="C373" s="17"/>
      <c r="D373" s="17"/>
      <c r="E373" s="17" t="str">
        <f>IF(D373="","",IFERROR(VLOOKUP(D373,COA!A:B,2,FALSE),"-"))</f>
        <v/>
      </c>
      <c r="F373" s="17"/>
      <c r="G373" s="17" t="str">
        <f>IF(F373="","",IFERROR(VLOOKUP(F373,COA!A:B,2,FALSE),"-"))</f>
        <v/>
      </c>
      <c r="H373" s="20"/>
      <c r="I373" s="20"/>
      <c r="J373" s="20"/>
      <c r="K373" s="20" t="str">
        <f t="shared" si="1"/>
        <v/>
      </c>
    </row>
    <row r="374">
      <c r="A374" s="43"/>
      <c r="C374" s="17"/>
      <c r="D374" s="17"/>
      <c r="E374" s="17" t="str">
        <f>IF(D374="","",IFERROR(VLOOKUP(D374,COA!A:B,2,FALSE),"-"))</f>
        <v/>
      </c>
      <c r="F374" s="17"/>
      <c r="G374" s="17" t="str">
        <f>IF(F374="","",IFERROR(VLOOKUP(F374,COA!A:B,2,FALSE),"-"))</f>
        <v/>
      </c>
      <c r="H374" s="20"/>
      <c r="I374" s="20"/>
      <c r="J374" s="20"/>
      <c r="K374" s="20" t="str">
        <f t="shared" si="1"/>
        <v/>
      </c>
    </row>
    <row r="375">
      <c r="A375" s="43"/>
      <c r="C375" s="17"/>
      <c r="D375" s="17"/>
      <c r="E375" s="17" t="str">
        <f>IF(D375="","",IFERROR(VLOOKUP(D375,COA!A:B,2,FALSE),"-"))</f>
        <v/>
      </c>
      <c r="F375" s="17"/>
      <c r="G375" s="17" t="str">
        <f>IF(F375="","",IFERROR(VLOOKUP(F375,COA!A:B,2,FALSE),"-"))</f>
        <v/>
      </c>
      <c r="H375" s="20"/>
      <c r="I375" s="20"/>
      <c r="J375" s="20"/>
      <c r="K375" s="20" t="str">
        <f t="shared" si="1"/>
        <v/>
      </c>
    </row>
    <row r="376">
      <c r="A376" s="43"/>
      <c r="C376" s="17"/>
      <c r="D376" s="17"/>
      <c r="E376" s="17" t="str">
        <f>IF(D376="","",IFERROR(VLOOKUP(D376,COA!A:B,2,FALSE),"-"))</f>
        <v/>
      </c>
      <c r="F376" s="17"/>
      <c r="G376" s="17" t="str">
        <f>IF(F376="","",IFERROR(VLOOKUP(F376,COA!A:B,2,FALSE),"-"))</f>
        <v/>
      </c>
      <c r="H376" s="20"/>
      <c r="I376" s="20"/>
      <c r="J376" s="20"/>
      <c r="K376" s="20" t="str">
        <f t="shared" si="1"/>
        <v/>
      </c>
    </row>
    <row r="377">
      <c r="A377" s="43"/>
      <c r="C377" s="17"/>
      <c r="D377" s="17"/>
      <c r="E377" s="17" t="str">
        <f>IF(D377="","",IFERROR(VLOOKUP(D377,COA!A:B,2,FALSE),"-"))</f>
        <v/>
      </c>
      <c r="F377" s="17"/>
      <c r="G377" s="17" t="str">
        <f>IF(F377="","",IFERROR(VLOOKUP(F377,COA!A:B,2,FALSE),"-"))</f>
        <v/>
      </c>
      <c r="H377" s="20"/>
      <c r="I377" s="20"/>
      <c r="J377" s="20"/>
      <c r="K377" s="20" t="str">
        <f t="shared" si="1"/>
        <v/>
      </c>
    </row>
    <row r="378">
      <c r="A378" s="43"/>
      <c r="C378" s="17"/>
      <c r="D378" s="17"/>
      <c r="E378" s="17" t="str">
        <f>IF(D378="","",IFERROR(VLOOKUP(D378,COA!A:B,2,FALSE),"-"))</f>
        <v/>
      </c>
      <c r="F378" s="17"/>
      <c r="G378" s="17" t="str">
        <f>IF(F378="","",IFERROR(VLOOKUP(F378,COA!A:B,2,FALSE),"-"))</f>
        <v/>
      </c>
      <c r="H378" s="20"/>
      <c r="I378" s="20"/>
      <c r="J378" s="20"/>
      <c r="K378" s="20" t="str">
        <f t="shared" si="1"/>
        <v/>
      </c>
    </row>
    <row r="379">
      <c r="A379" s="43"/>
      <c r="C379" s="17"/>
      <c r="D379" s="17"/>
      <c r="E379" s="17" t="str">
        <f>IF(D379="","",IFERROR(VLOOKUP(D379,COA!A:B,2,FALSE),"-"))</f>
        <v/>
      </c>
      <c r="F379" s="17"/>
      <c r="G379" s="17" t="str">
        <f>IF(F379="","",IFERROR(VLOOKUP(F379,COA!A:B,2,FALSE),"-"))</f>
        <v/>
      </c>
      <c r="H379" s="20"/>
      <c r="I379" s="20"/>
      <c r="J379" s="20"/>
      <c r="K379" s="20" t="str">
        <f t="shared" si="1"/>
        <v/>
      </c>
    </row>
    <row r="380">
      <c r="A380" s="43"/>
      <c r="C380" s="17"/>
      <c r="D380" s="17"/>
      <c r="E380" s="17" t="str">
        <f>IF(D380="","",IFERROR(VLOOKUP(D380,COA!A:B,2,FALSE),"-"))</f>
        <v/>
      </c>
      <c r="F380" s="17"/>
      <c r="G380" s="17" t="str">
        <f>IF(F380="","",IFERROR(VLOOKUP(F380,COA!A:B,2,FALSE),"-"))</f>
        <v/>
      </c>
      <c r="H380" s="20"/>
      <c r="I380" s="20"/>
      <c r="J380" s="20"/>
      <c r="K380" s="20" t="str">
        <f t="shared" si="1"/>
        <v/>
      </c>
    </row>
    <row r="381">
      <c r="A381" s="43"/>
      <c r="C381" s="17"/>
      <c r="D381" s="17"/>
      <c r="E381" s="17" t="str">
        <f>IF(D381="","",IFERROR(VLOOKUP(D381,COA!A:B,2,FALSE),"-"))</f>
        <v/>
      </c>
      <c r="F381" s="17"/>
      <c r="G381" s="17" t="str">
        <f>IF(F381="","",IFERROR(VLOOKUP(F381,COA!A:B,2,FALSE),"-"))</f>
        <v/>
      </c>
      <c r="H381" s="20"/>
      <c r="I381" s="20"/>
      <c r="J381" s="20"/>
      <c r="K381" s="20" t="str">
        <f t="shared" si="1"/>
        <v/>
      </c>
    </row>
    <row r="382">
      <c r="A382" s="43"/>
      <c r="C382" s="17"/>
      <c r="D382" s="17"/>
      <c r="E382" s="17" t="str">
        <f>IF(D382="","",IFERROR(VLOOKUP(D382,COA!A:B,2,FALSE),"-"))</f>
        <v/>
      </c>
      <c r="F382" s="17"/>
      <c r="G382" s="17" t="str">
        <f>IF(F382="","",IFERROR(VLOOKUP(F382,COA!A:B,2,FALSE),"-"))</f>
        <v/>
      </c>
      <c r="H382" s="20"/>
      <c r="I382" s="20"/>
      <c r="J382" s="20"/>
      <c r="K382" s="20" t="str">
        <f t="shared" si="1"/>
        <v/>
      </c>
    </row>
    <row r="383">
      <c r="A383" s="43"/>
      <c r="C383" s="17"/>
      <c r="D383" s="17"/>
      <c r="E383" s="17" t="str">
        <f>IF(D383="","",IFERROR(VLOOKUP(D383,COA!A:B,2,FALSE),"-"))</f>
        <v/>
      </c>
      <c r="F383" s="17"/>
      <c r="G383" s="17" t="str">
        <f>IF(F383="","",IFERROR(VLOOKUP(F383,COA!A:B,2,FALSE),"-"))</f>
        <v/>
      </c>
      <c r="H383" s="20"/>
      <c r="I383" s="20"/>
      <c r="J383" s="20"/>
      <c r="K383" s="20" t="str">
        <f t="shared" si="1"/>
        <v/>
      </c>
    </row>
    <row r="384">
      <c r="A384" s="43"/>
      <c r="C384" s="17"/>
      <c r="D384" s="17"/>
      <c r="E384" s="17" t="str">
        <f>IF(D384="","",IFERROR(VLOOKUP(D384,COA!A:B,2,FALSE),"-"))</f>
        <v/>
      </c>
      <c r="F384" s="17"/>
      <c r="G384" s="17" t="str">
        <f>IF(F384="","",IFERROR(VLOOKUP(F384,COA!A:B,2,FALSE),"-"))</f>
        <v/>
      </c>
      <c r="H384" s="20"/>
      <c r="I384" s="20"/>
      <c r="J384" s="20"/>
      <c r="K384" s="20" t="str">
        <f t="shared" si="1"/>
        <v/>
      </c>
    </row>
    <row r="385">
      <c r="A385" s="43"/>
      <c r="C385" s="17"/>
      <c r="D385" s="17"/>
      <c r="E385" s="17" t="str">
        <f>IF(D385="","",IFERROR(VLOOKUP(D385,COA!A:B,2,FALSE),"-"))</f>
        <v/>
      </c>
      <c r="F385" s="17"/>
      <c r="G385" s="17" t="str">
        <f>IF(F385="","",IFERROR(VLOOKUP(F385,COA!A:B,2,FALSE),"-"))</f>
        <v/>
      </c>
      <c r="H385" s="20"/>
      <c r="I385" s="20"/>
      <c r="J385" s="20"/>
      <c r="K385" s="20" t="str">
        <f t="shared" si="1"/>
        <v/>
      </c>
    </row>
    <row r="386">
      <c r="A386" s="43"/>
      <c r="C386" s="17"/>
      <c r="D386" s="17"/>
      <c r="E386" s="17" t="str">
        <f>IF(D386="","",IFERROR(VLOOKUP(D386,COA!A:B,2,FALSE),"-"))</f>
        <v/>
      </c>
      <c r="F386" s="17"/>
      <c r="G386" s="17" t="str">
        <f>IF(F386="","",IFERROR(VLOOKUP(F386,COA!A:B,2,FALSE),"-"))</f>
        <v/>
      </c>
      <c r="H386" s="20"/>
      <c r="I386" s="20"/>
      <c r="J386" s="20"/>
      <c r="K386" s="20" t="str">
        <f t="shared" si="1"/>
        <v/>
      </c>
    </row>
    <row r="387">
      <c r="A387" s="43"/>
      <c r="C387" s="17"/>
      <c r="D387" s="17"/>
      <c r="E387" s="17" t="str">
        <f>IF(D387="","",IFERROR(VLOOKUP(D387,COA!A:B,2,FALSE),"-"))</f>
        <v/>
      </c>
      <c r="F387" s="17"/>
      <c r="G387" s="17" t="str">
        <f>IF(F387="","",IFERROR(VLOOKUP(F387,COA!A:B,2,FALSE),"-"))</f>
        <v/>
      </c>
      <c r="H387" s="20"/>
      <c r="I387" s="20"/>
      <c r="J387" s="20"/>
      <c r="K387" s="20" t="str">
        <f t="shared" si="1"/>
        <v/>
      </c>
    </row>
    <row r="388">
      <c r="A388" s="43"/>
      <c r="C388" s="17"/>
      <c r="D388" s="17"/>
      <c r="E388" s="17" t="str">
        <f>IF(D388="","",IFERROR(VLOOKUP(D388,COA!A:B,2,FALSE),"-"))</f>
        <v/>
      </c>
      <c r="F388" s="17"/>
      <c r="G388" s="17" t="str">
        <f>IF(F388="","",IFERROR(VLOOKUP(F388,COA!A:B,2,FALSE),"-"))</f>
        <v/>
      </c>
      <c r="H388" s="20"/>
      <c r="I388" s="20"/>
      <c r="J388" s="20"/>
      <c r="K388" s="20" t="str">
        <f t="shared" si="1"/>
        <v/>
      </c>
    </row>
    <row r="389">
      <c r="A389" s="43"/>
      <c r="C389" s="17"/>
      <c r="D389" s="17"/>
      <c r="E389" s="17" t="str">
        <f>IF(D389="","",IFERROR(VLOOKUP(D389,COA!A:B,2,FALSE),"-"))</f>
        <v/>
      </c>
      <c r="F389" s="17"/>
      <c r="G389" s="17" t="str">
        <f>IF(F389="","",IFERROR(VLOOKUP(F389,COA!A:B,2,FALSE),"-"))</f>
        <v/>
      </c>
      <c r="H389" s="20"/>
      <c r="I389" s="20"/>
      <c r="J389" s="20"/>
      <c r="K389" s="20" t="str">
        <f t="shared" si="1"/>
        <v/>
      </c>
    </row>
    <row r="390">
      <c r="A390" s="43"/>
      <c r="C390" s="17"/>
      <c r="D390" s="17"/>
      <c r="E390" s="17" t="str">
        <f>IF(D390="","",IFERROR(VLOOKUP(D390,COA!A:B,2,FALSE),"-"))</f>
        <v/>
      </c>
      <c r="F390" s="17"/>
      <c r="G390" s="17" t="str">
        <f>IF(F390="","",IFERROR(VLOOKUP(F390,COA!A:B,2,FALSE),"-"))</f>
        <v/>
      </c>
      <c r="H390" s="20"/>
      <c r="I390" s="20"/>
      <c r="J390" s="20"/>
      <c r="K390" s="20" t="str">
        <f t="shared" si="1"/>
        <v/>
      </c>
    </row>
    <row r="391">
      <c r="A391" s="43"/>
      <c r="C391" s="17"/>
      <c r="D391" s="17"/>
      <c r="E391" s="17" t="str">
        <f>IF(D391="","",IFERROR(VLOOKUP(D391,COA!A:B,2,FALSE),"-"))</f>
        <v/>
      </c>
      <c r="F391" s="17"/>
      <c r="G391" s="17" t="str">
        <f>IF(F391="","",IFERROR(VLOOKUP(F391,COA!A:B,2,FALSE),"-"))</f>
        <v/>
      </c>
      <c r="H391" s="20"/>
      <c r="I391" s="20"/>
      <c r="J391" s="20"/>
      <c r="K391" s="20" t="str">
        <f t="shared" si="1"/>
        <v/>
      </c>
    </row>
    <row r="392">
      <c r="A392" s="43"/>
      <c r="C392" s="17"/>
      <c r="D392" s="17"/>
      <c r="E392" s="17" t="str">
        <f>IF(D392="","",IFERROR(VLOOKUP(D392,COA!A:B,2,FALSE),"-"))</f>
        <v/>
      </c>
      <c r="F392" s="17"/>
      <c r="G392" s="17" t="str">
        <f>IF(F392="","",IFERROR(VLOOKUP(F392,COA!A:B,2,FALSE),"-"))</f>
        <v/>
      </c>
      <c r="H392" s="20"/>
      <c r="I392" s="20"/>
      <c r="J392" s="20"/>
      <c r="K392" s="20" t="str">
        <f t="shared" si="1"/>
        <v/>
      </c>
    </row>
    <row r="393">
      <c r="A393" s="43"/>
      <c r="C393" s="17"/>
      <c r="D393" s="17"/>
      <c r="E393" s="17" t="str">
        <f>IF(D393="","",IFERROR(VLOOKUP(D393,COA!A:B,2,FALSE),"-"))</f>
        <v/>
      </c>
      <c r="F393" s="17"/>
      <c r="G393" s="17" t="str">
        <f>IF(F393="","",IFERROR(VLOOKUP(F393,COA!A:B,2,FALSE),"-"))</f>
        <v/>
      </c>
      <c r="H393" s="20"/>
      <c r="I393" s="20"/>
      <c r="J393" s="20"/>
      <c r="K393" s="20" t="str">
        <f t="shared" si="1"/>
        <v/>
      </c>
    </row>
    <row r="394">
      <c r="A394" s="43"/>
      <c r="C394" s="17"/>
      <c r="D394" s="17"/>
      <c r="E394" s="17" t="str">
        <f>IF(D394="","",IFERROR(VLOOKUP(D394,COA!A:B,2,FALSE),"-"))</f>
        <v/>
      </c>
      <c r="F394" s="17"/>
      <c r="G394" s="17" t="str">
        <f>IF(F394="","",IFERROR(VLOOKUP(F394,COA!A:B,2,FALSE),"-"))</f>
        <v/>
      </c>
      <c r="H394" s="20"/>
      <c r="I394" s="20"/>
      <c r="J394" s="20"/>
      <c r="K394" s="20" t="str">
        <f t="shared" si="1"/>
        <v/>
      </c>
    </row>
    <row r="395">
      <c r="A395" s="43"/>
      <c r="C395" s="17"/>
      <c r="D395" s="17"/>
      <c r="E395" s="17" t="str">
        <f>IF(D395="","",IFERROR(VLOOKUP(D395,COA!A:B,2,FALSE),"-"))</f>
        <v/>
      </c>
      <c r="F395" s="17"/>
      <c r="G395" s="17" t="str">
        <f>IF(F395="","",IFERROR(VLOOKUP(F395,COA!A:B,2,FALSE),"-"))</f>
        <v/>
      </c>
      <c r="H395" s="20"/>
      <c r="I395" s="20"/>
      <c r="J395" s="20"/>
      <c r="K395" s="20" t="str">
        <f t="shared" si="1"/>
        <v/>
      </c>
    </row>
    <row r="396">
      <c r="A396" s="43"/>
      <c r="C396" s="17"/>
      <c r="D396" s="17"/>
      <c r="E396" s="17" t="str">
        <f>IF(D396="","",IFERROR(VLOOKUP(D396,COA!A:B,2,FALSE),"-"))</f>
        <v/>
      </c>
      <c r="F396" s="17"/>
      <c r="G396" s="17" t="str">
        <f>IF(F396="","",IFERROR(VLOOKUP(F396,COA!A:B,2,FALSE),"-"))</f>
        <v/>
      </c>
      <c r="H396" s="20"/>
      <c r="I396" s="20"/>
      <c r="J396" s="20"/>
      <c r="K396" s="20" t="str">
        <f t="shared" si="1"/>
        <v/>
      </c>
    </row>
    <row r="397">
      <c r="A397" s="43"/>
      <c r="C397" s="17"/>
      <c r="D397" s="17"/>
      <c r="E397" s="17" t="str">
        <f>IF(D397="","",IFERROR(VLOOKUP(D397,COA!A:B,2,FALSE),"-"))</f>
        <v/>
      </c>
      <c r="F397" s="17"/>
      <c r="G397" s="17" t="str">
        <f>IF(F397="","",IFERROR(VLOOKUP(F397,COA!A:B,2,FALSE),"-"))</f>
        <v/>
      </c>
      <c r="H397" s="20"/>
      <c r="I397" s="20"/>
      <c r="J397" s="20"/>
      <c r="K397" s="20" t="str">
        <f t="shared" si="1"/>
        <v/>
      </c>
    </row>
    <row r="398">
      <c r="A398" s="43"/>
      <c r="C398" s="17"/>
      <c r="D398" s="17"/>
      <c r="E398" s="17" t="str">
        <f>IF(D398="","",IFERROR(VLOOKUP(D398,COA!A:B,2,FALSE),"-"))</f>
        <v/>
      </c>
      <c r="F398" s="17"/>
      <c r="G398" s="17" t="str">
        <f>IF(F398="","",IFERROR(VLOOKUP(F398,COA!A:B,2,FALSE),"-"))</f>
        <v/>
      </c>
      <c r="H398" s="20"/>
      <c r="I398" s="20"/>
      <c r="J398" s="20"/>
      <c r="K398" s="20" t="str">
        <f t="shared" si="1"/>
        <v/>
      </c>
    </row>
    <row r="399">
      <c r="A399" s="43"/>
      <c r="C399" s="17"/>
      <c r="D399" s="17"/>
      <c r="E399" s="17" t="str">
        <f>IF(D399="","",IFERROR(VLOOKUP(D399,COA!A:B,2,FALSE),"-"))</f>
        <v/>
      </c>
      <c r="F399" s="17"/>
      <c r="G399" s="17" t="str">
        <f>IF(F399="","",IFERROR(VLOOKUP(F399,COA!A:B,2,FALSE),"-"))</f>
        <v/>
      </c>
      <c r="H399" s="20"/>
      <c r="I399" s="20"/>
      <c r="J399" s="20"/>
      <c r="K399" s="20" t="str">
        <f t="shared" si="1"/>
        <v/>
      </c>
    </row>
    <row r="400">
      <c r="A400" s="43"/>
      <c r="C400" s="17"/>
      <c r="D400" s="17"/>
      <c r="E400" s="17" t="str">
        <f>IF(D400="","",IFERROR(VLOOKUP(D400,COA!A:B,2,FALSE),"-"))</f>
        <v/>
      </c>
      <c r="F400" s="17"/>
      <c r="G400" s="17" t="str">
        <f>IF(F400="","",IFERROR(VLOOKUP(F400,COA!A:B,2,FALSE),"-"))</f>
        <v/>
      </c>
      <c r="H400" s="20"/>
      <c r="I400" s="20"/>
      <c r="J400" s="20"/>
      <c r="K400" s="20" t="str">
        <f t="shared" si="1"/>
        <v/>
      </c>
    </row>
    <row r="401">
      <c r="A401" s="43"/>
      <c r="C401" s="17"/>
      <c r="D401" s="17"/>
      <c r="E401" s="17" t="str">
        <f>IF(D401="","",IFERROR(VLOOKUP(D401,COA!A:B,2,FALSE),"-"))</f>
        <v/>
      </c>
      <c r="F401" s="17"/>
      <c r="G401" s="17" t="str">
        <f>IF(F401="","",IFERROR(VLOOKUP(F401,COA!A:B,2,FALSE),"-"))</f>
        <v/>
      </c>
      <c r="H401" s="20"/>
      <c r="I401" s="20"/>
      <c r="J401" s="20"/>
      <c r="K401" s="20" t="str">
        <f t="shared" si="1"/>
        <v/>
      </c>
    </row>
    <row r="402">
      <c r="A402" s="43"/>
      <c r="C402" s="17"/>
      <c r="D402" s="17"/>
      <c r="E402" s="17" t="str">
        <f>IF(D402="","",IFERROR(VLOOKUP(D402,COA!A:B,2,FALSE),"-"))</f>
        <v/>
      </c>
      <c r="F402" s="17"/>
      <c r="G402" s="17" t="str">
        <f>IF(F402="","",IFERROR(VLOOKUP(F402,COA!A:B,2,FALSE),"-"))</f>
        <v/>
      </c>
      <c r="H402" s="20"/>
      <c r="I402" s="20"/>
      <c r="J402" s="20"/>
      <c r="K402" s="20" t="str">
        <f t="shared" si="1"/>
        <v/>
      </c>
    </row>
    <row r="403">
      <c r="A403" s="43"/>
      <c r="C403" s="17"/>
      <c r="D403" s="17"/>
      <c r="E403" s="17" t="str">
        <f>IF(D403="","",IFERROR(VLOOKUP(D403,COA!A:B,2,FALSE),"-"))</f>
        <v/>
      </c>
      <c r="F403" s="17"/>
      <c r="G403" s="17" t="str">
        <f>IF(F403="","",IFERROR(VLOOKUP(F403,COA!A:B,2,FALSE),"-"))</f>
        <v/>
      </c>
      <c r="H403" s="20"/>
      <c r="I403" s="20"/>
      <c r="J403" s="20"/>
      <c r="K403" s="20" t="str">
        <f t="shared" si="1"/>
        <v/>
      </c>
    </row>
    <row r="404">
      <c r="A404" s="43"/>
      <c r="C404" s="17"/>
      <c r="D404" s="17"/>
      <c r="E404" s="17" t="str">
        <f>IF(D404="","",IFERROR(VLOOKUP(D404,COA!A:B,2,FALSE),"-"))</f>
        <v/>
      </c>
      <c r="F404" s="17"/>
      <c r="G404" s="17" t="str">
        <f>IF(F404="","",IFERROR(VLOOKUP(F404,COA!A:B,2,FALSE),"-"))</f>
        <v/>
      </c>
      <c r="H404" s="20"/>
      <c r="I404" s="20"/>
      <c r="J404" s="20"/>
      <c r="K404" s="20" t="str">
        <f t="shared" si="1"/>
        <v/>
      </c>
    </row>
    <row r="405">
      <c r="A405" s="43"/>
      <c r="C405" s="17"/>
      <c r="D405" s="17"/>
      <c r="E405" s="17" t="str">
        <f>IF(D405="","",IFERROR(VLOOKUP(D405,COA!A:B,2,FALSE),"-"))</f>
        <v/>
      </c>
      <c r="F405" s="17"/>
      <c r="G405" s="17" t="str">
        <f>IF(F405="","",IFERROR(VLOOKUP(F405,COA!A:B,2,FALSE),"-"))</f>
        <v/>
      </c>
      <c r="H405" s="20"/>
      <c r="I405" s="20"/>
      <c r="J405" s="20"/>
      <c r="K405" s="20" t="str">
        <f t="shared" si="1"/>
        <v/>
      </c>
    </row>
    <row r="406">
      <c r="A406" s="43"/>
      <c r="C406" s="17"/>
      <c r="D406" s="17"/>
      <c r="E406" s="17" t="str">
        <f>IF(D406="","",IFERROR(VLOOKUP(D406,COA!A:B,2,FALSE),"-"))</f>
        <v/>
      </c>
      <c r="F406" s="17"/>
      <c r="G406" s="17" t="str">
        <f>IF(F406="","",IFERROR(VLOOKUP(F406,COA!A:B,2,FALSE),"-"))</f>
        <v/>
      </c>
      <c r="H406" s="20"/>
      <c r="I406" s="20"/>
      <c r="J406" s="20"/>
      <c r="K406" s="20" t="str">
        <f t="shared" si="1"/>
        <v/>
      </c>
    </row>
    <row r="407">
      <c r="A407" s="43"/>
      <c r="C407" s="17"/>
      <c r="D407" s="17"/>
      <c r="E407" s="17" t="str">
        <f>IF(D407="","",IFERROR(VLOOKUP(D407,COA!A:B,2,FALSE),"-"))</f>
        <v/>
      </c>
      <c r="F407" s="17"/>
      <c r="G407" s="17" t="str">
        <f>IF(F407="","",IFERROR(VLOOKUP(F407,COA!A:B,2,FALSE),"-"))</f>
        <v/>
      </c>
      <c r="H407" s="20"/>
      <c r="I407" s="20"/>
      <c r="J407" s="20"/>
      <c r="K407" s="20" t="str">
        <f t="shared" si="1"/>
        <v/>
      </c>
    </row>
    <row r="408">
      <c r="A408" s="43"/>
      <c r="C408" s="17"/>
      <c r="D408" s="17"/>
      <c r="E408" s="17" t="str">
        <f>IF(D408="","",IFERROR(VLOOKUP(D408,COA!A:B,2,FALSE),"-"))</f>
        <v/>
      </c>
      <c r="F408" s="17"/>
      <c r="G408" s="17" t="str">
        <f>IF(F408="","",IFERROR(VLOOKUP(F408,COA!A:B,2,FALSE),"-"))</f>
        <v/>
      </c>
      <c r="H408" s="20"/>
      <c r="I408" s="20"/>
      <c r="J408" s="20"/>
      <c r="K408" s="20" t="str">
        <f t="shared" si="1"/>
        <v/>
      </c>
    </row>
    <row r="409">
      <c r="A409" s="43"/>
      <c r="C409" s="17"/>
      <c r="D409" s="17"/>
      <c r="E409" s="17" t="str">
        <f>IF(D409="","",IFERROR(VLOOKUP(D409,COA!A:B,2,FALSE),"-"))</f>
        <v/>
      </c>
      <c r="F409" s="17"/>
      <c r="G409" s="17" t="str">
        <f>IF(F409="","",IFERROR(VLOOKUP(F409,COA!A:B,2,FALSE),"-"))</f>
        <v/>
      </c>
      <c r="H409" s="20"/>
      <c r="I409" s="20"/>
      <c r="J409" s="20"/>
      <c r="K409" s="20" t="str">
        <f t="shared" si="1"/>
        <v/>
      </c>
    </row>
    <row r="410">
      <c r="A410" s="43"/>
      <c r="C410" s="17"/>
      <c r="D410" s="17"/>
      <c r="E410" s="17" t="str">
        <f>IF(D410="","",IFERROR(VLOOKUP(D410,COA!A:B,2,FALSE),"-"))</f>
        <v/>
      </c>
      <c r="F410" s="17"/>
      <c r="G410" s="17" t="str">
        <f>IF(F410="","",IFERROR(VLOOKUP(F410,COA!A:B,2,FALSE),"-"))</f>
        <v/>
      </c>
      <c r="H410" s="20"/>
      <c r="I410" s="20"/>
      <c r="J410" s="20"/>
      <c r="K410" s="20" t="str">
        <f t="shared" si="1"/>
        <v/>
      </c>
    </row>
    <row r="411">
      <c r="A411" s="43"/>
      <c r="C411" s="17"/>
      <c r="D411" s="17"/>
      <c r="E411" s="17" t="str">
        <f>IF(D411="","",IFERROR(VLOOKUP(D411,COA!A:B,2,FALSE),"-"))</f>
        <v/>
      </c>
      <c r="F411" s="17"/>
      <c r="G411" s="17" t="str">
        <f>IF(F411="","",IFERROR(VLOOKUP(F411,COA!A:B,2,FALSE),"-"))</f>
        <v/>
      </c>
      <c r="H411" s="20"/>
      <c r="I411" s="20"/>
      <c r="J411" s="20"/>
      <c r="K411" s="20" t="str">
        <f t="shared" si="1"/>
        <v/>
      </c>
    </row>
    <row r="412">
      <c r="A412" s="43"/>
      <c r="C412" s="17"/>
      <c r="D412" s="17"/>
      <c r="E412" s="17" t="str">
        <f>IF(D412="","",IFERROR(VLOOKUP(D412,COA!A:B,2,FALSE),"-"))</f>
        <v/>
      </c>
      <c r="F412" s="17"/>
      <c r="G412" s="17" t="str">
        <f>IF(F412="","",IFERROR(VLOOKUP(F412,COA!A:B,2,FALSE),"-"))</f>
        <v/>
      </c>
      <c r="H412" s="20"/>
      <c r="I412" s="20"/>
      <c r="J412" s="20"/>
      <c r="K412" s="20" t="str">
        <f t="shared" si="1"/>
        <v/>
      </c>
    </row>
    <row r="413">
      <c r="A413" s="43"/>
      <c r="C413" s="17"/>
      <c r="D413" s="17"/>
      <c r="E413" s="17" t="str">
        <f>IF(D413="","",IFERROR(VLOOKUP(D413,COA!A:B,2,FALSE),"-"))</f>
        <v/>
      </c>
      <c r="F413" s="17"/>
      <c r="G413" s="17" t="str">
        <f>IF(F413="","",IFERROR(VLOOKUP(F413,COA!A:B,2,FALSE),"-"))</f>
        <v/>
      </c>
      <c r="H413" s="20"/>
      <c r="I413" s="20"/>
      <c r="J413" s="20"/>
      <c r="K413" s="20" t="str">
        <f t="shared" si="1"/>
        <v/>
      </c>
    </row>
    <row r="414">
      <c r="A414" s="43"/>
      <c r="C414" s="17"/>
      <c r="D414" s="17"/>
      <c r="E414" s="17" t="str">
        <f>IF(D414="","",IFERROR(VLOOKUP(D414,COA!A:B,2,FALSE),"-"))</f>
        <v/>
      </c>
      <c r="F414" s="17"/>
      <c r="G414" s="17" t="str">
        <f>IF(F414="","",IFERROR(VLOOKUP(F414,COA!A:B,2,FALSE),"-"))</f>
        <v/>
      </c>
      <c r="H414" s="20"/>
      <c r="I414" s="20"/>
      <c r="J414" s="20"/>
      <c r="K414" s="20" t="str">
        <f t="shared" si="1"/>
        <v/>
      </c>
    </row>
    <row r="415">
      <c r="A415" s="43"/>
      <c r="C415" s="17"/>
      <c r="D415" s="17"/>
      <c r="E415" s="17" t="str">
        <f>IF(D415="","",IFERROR(VLOOKUP(D415,COA!A:B,2,FALSE),"-"))</f>
        <v/>
      </c>
      <c r="F415" s="17"/>
      <c r="G415" s="17" t="str">
        <f>IF(F415="","",IFERROR(VLOOKUP(F415,COA!A:B,2,FALSE),"-"))</f>
        <v/>
      </c>
      <c r="H415" s="20"/>
      <c r="I415" s="20"/>
      <c r="J415" s="20"/>
      <c r="K415" s="20" t="str">
        <f t="shared" si="1"/>
        <v/>
      </c>
    </row>
    <row r="416">
      <c r="A416" s="43"/>
      <c r="C416" s="17"/>
      <c r="D416" s="17"/>
      <c r="E416" s="17" t="str">
        <f>IF(D416="","",IFERROR(VLOOKUP(D416,COA!A:B,2,FALSE),"-"))</f>
        <v/>
      </c>
      <c r="F416" s="17"/>
      <c r="G416" s="17" t="str">
        <f>IF(F416="","",IFERROR(VLOOKUP(F416,COA!A:B,2,FALSE),"-"))</f>
        <v/>
      </c>
      <c r="H416" s="20"/>
      <c r="I416" s="20"/>
      <c r="J416" s="20"/>
      <c r="K416" s="20" t="str">
        <f t="shared" si="1"/>
        <v/>
      </c>
    </row>
    <row r="417">
      <c r="A417" s="43"/>
      <c r="C417" s="17"/>
      <c r="D417" s="17"/>
      <c r="E417" s="17" t="str">
        <f>IF(D417="","",IFERROR(VLOOKUP(D417,COA!A:B,2,FALSE),"-"))</f>
        <v/>
      </c>
      <c r="F417" s="17"/>
      <c r="G417" s="17" t="str">
        <f>IF(F417="","",IFERROR(VLOOKUP(F417,COA!A:B,2,FALSE),"-"))</f>
        <v/>
      </c>
      <c r="H417" s="20"/>
      <c r="I417" s="20"/>
      <c r="J417" s="20"/>
      <c r="K417" s="20" t="str">
        <f t="shared" si="1"/>
        <v/>
      </c>
    </row>
    <row r="418">
      <c r="A418" s="43"/>
      <c r="C418" s="17"/>
      <c r="D418" s="17"/>
      <c r="E418" s="17" t="str">
        <f>IF(D418="","",IFERROR(VLOOKUP(D418,COA!A:B,2,FALSE),"-"))</f>
        <v/>
      </c>
      <c r="F418" s="17"/>
      <c r="G418" s="17" t="str">
        <f>IF(F418="","",IFERROR(VLOOKUP(F418,COA!A:B,2,FALSE),"-"))</f>
        <v/>
      </c>
      <c r="H418" s="20"/>
      <c r="I418" s="20"/>
      <c r="J418" s="20"/>
      <c r="K418" s="20" t="str">
        <f t="shared" si="1"/>
        <v/>
      </c>
    </row>
    <row r="419">
      <c r="A419" s="43"/>
      <c r="C419" s="17"/>
      <c r="D419" s="17"/>
      <c r="E419" s="17" t="str">
        <f>IF(D419="","",IFERROR(VLOOKUP(D419,COA!A:B,2,FALSE),"-"))</f>
        <v/>
      </c>
      <c r="F419" s="17"/>
      <c r="G419" s="17" t="str">
        <f>IF(F419="","",IFERROR(VLOOKUP(F419,COA!A:B,2,FALSE),"-"))</f>
        <v/>
      </c>
      <c r="H419" s="20"/>
      <c r="I419" s="20"/>
      <c r="J419" s="20"/>
      <c r="K419" s="20" t="str">
        <f t="shared" si="1"/>
        <v/>
      </c>
    </row>
    <row r="420">
      <c r="A420" s="43"/>
      <c r="C420" s="17"/>
      <c r="D420" s="17"/>
      <c r="E420" s="17" t="str">
        <f>IF(D420="","",IFERROR(VLOOKUP(D420,COA!A:B,2,FALSE),"-"))</f>
        <v/>
      </c>
      <c r="F420" s="17"/>
      <c r="G420" s="17" t="str">
        <f>IF(F420="","",IFERROR(VLOOKUP(F420,COA!A:B,2,FALSE),"-"))</f>
        <v/>
      </c>
      <c r="H420" s="20"/>
      <c r="I420" s="20"/>
      <c r="J420" s="20"/>
      <c r="K420" s="20" t="str">
        <f t="shared" si="1"/>
        <v/>
      </c>
    </row>
    <row r="421">
      <c r="A421" s="43"/>
      <c r="C421" s="17"/>
      <c r="D421" s="17"/>
      <c r="E421" s="17" t="str">
        <f>IF(D421="","",IFERROR(VLOOKUP(D421,COA!A:B,2,FALSE),"-"))</f>
        <v/>
      </c>
      <c r="F421" s="17"/>
      <c r="G421" s="17" t="str">
        <f>IF(F421="","",IFERROR(VLOOKUP(F421,COA!A:B,2,FALSE),"-"))</f>
        <v/>
      </c>
      <c r="H421" s="20"/>
      <c r="I421" s="20"/>
      <c r="J421" s="20"/>
      <c r="K421" s="20" t="str">
        <f t="shared" si="1"/>
        <v/>
      </c>
    </row>
    <row r="422">
      <c r="A422" s="43"/>
      <c r="C422" s="17"/>
      <c r="D422" s="17"/>
      <c r="E422" s="17" t="str">
        <f>IF(D422="","",IFERROR(VLOOKUP(D422,COA!A:B,2,FALSE),"-"))</f>
        <v/>
      </c>
      <c r="F422" s="17"/>
      <c r="G422" s="17" t="str">
        <f>IF(F422="","",IFERROR(VLOOKUP(F422,COA!A:B,2,FALSE),"-"))</f>
        <v/>
      </c>
      <c r="H422" s="20"/>
      <c r="I422" s="20"/>
      <c r="J422" s="20"/>
      <c r="K422" s="20" t="str">
        <f t="shared" si="1"/>
        <v/>
      </c>
    </row>
    <row r="423">
      <c r="A423" s="43"/>
      <c r="C423" s="17"/>
      <c r="D423" s="17"/>
      <c r="E423" s="17" t="str">
        <f>IF(D423="","",IFERROR(VLOOKUP(D423,COA!A:B,2,FALSE),"-"))</f>
        <v/>
      </c>
      <c r="F423" s="17"/>
      <c r="G423" s="17" t="str">
        <f>IF(F423="","",IFERROR(VLOOKUP(F423,COA!A:B,2,FALSE),"-"))</f>
        <v/>
      </c>
      <c r="H423" s="20"/>
      <c r="I423" s="20"/>
      <c r="J423" s="20"/>
      <c r="K423" s="20" t="str">
        <f t="shared" si="1"/>
        <v/>
      </c>
    </row>
    <row r="424">
      <c r="A424" s="43"/>
      <c r="C424" s="17"/>
      <c r="D424" s="17"/>
      <c r="E424" s="17" t="str">
        <f>IF(D424="","",IFERROR(VLOOKUP(D424,COA!A:B,2,FALSE),"-"))</f>
        <v/>
      </c>
      <c r="F424" s="17"/>
      <c r="G424" s="17" t="str">
        <f>IF(F424="","",IFERROR(VLOOKUP(F424,COA!A:B,2,FALSE),"-"))</f>
        <v/>
      </c>
      <c r="H424" s="20"/>
      <c r="I424" s="20"/>
      <c r="J424" s="20"/>
      <c r="K424" s="20" t="str">
        <f t="shared" si="1"/>
        <v/>
      </c>
    </row>
    <row r="425">
      <c r="A425" s="43"/>
      <c r="C425" s="17"/>
      <c r="D425" s="17"/>
      <c r="E425" s="17" t="str">
        <f>IF(D425="","",IFERROR(VLOOKUP(D425,COA!A:B,2,FALSE),"-"))</f>
        <v/>
      </c>
      <c r="F425" s="17"/>
      <c r="G425" s="17" t="str">
        <f>IF(F425="","",IFERROR(VLOOKUP(F425,COA!A:B,2,FALSE),"-"))</f>
        <v/>
      </c>
      <c r="H425" s="20"/>
      <c r="I425" s="20"/>
      <c r="J425" s="20"/>
      <c r="K425" s="20" t="str">
        <f t="shared" si="1"/>
        <v/>
      </c>
    </row>
    <row r="426">
      <c r="A426" s="43"/>
      <c r="C426" s="17"/>
      <c r="D426" s="17"/>
      <c r="E426" s="17" t="str">
        <f>IF(D426="","",IFERROR(VLOOKUP(D426,COA!A:B,2,FALSE),"-"))</f>
        <v/>
      </c>
      <c r="F426" s="17"/>
      <c r="G426" s="17" t="str">
        <f>IF(F426="","",IFERROR(VLOOKUP(F426,COA!A:B,2,FALSE),"-"))</f>
        <v/>
      </c>
      <c r="H426" s="20"/>
      <c r="I426" s="20"/>
      <c r="J426" s="20"/>
      <c r="K426" s="20" t="str">
        <f t="shared" si="1"/>
        <v/>
      </c>
    </row>
    <row r="427">
      <c r="A427" s="43"/>
      <c r="C427" s="17"/>
      <c r="D427" s="17"/>
      <c r="E427" s="17" t="str">
        <f>IF(D427="","",IFERROR(VLOOKUP(D427,COA!A:B,2,FALSE),"-"))</f>
        <v/>
      </c>
      <c r="F427" s="17"/>
      <c r="G427" s="17" t="str">
        <f>IF(F427="","",IFERROR(VLOOKUP(F427,COA!A:B,2,FALSE),"-"))</f>
        <v/>
      </c>
      <c r="H427" s="20"/>
      <c r="I427" s="20"/>
      <c r="J427" s="20"/>
      <c r="K427" s="20" t="str">
        <f t="shared" si="1"/>
        <v/>
      </c>
    </row>
    <row r="428">
      <c r="A428" s="43"/>
      <c r="C428" s="17"/>
      <c r="D428" s="17"/>
      <c r="E428" s="17" t="str">
        <f>IF(D428="","",IFERROR(VLOOKUP(D428,COA!A:B,2,FALSE),"-"))</f>
        <v/>
      </c>
      <c r="F428" s="17"/>
      <c r="G428" s="17" t="str">
        <f>IF(F428="","",IFERROR(VLOOKUP(F428,COA!A:B,2,FALSE),"-"))</f>
        <v/>
      </c>
      <c r="H428" s="20"/>
      <c r="I428" s="20"/>
      <c r="J428" s="20"/>
      <c r="K428" s="20" t="str">
        <f t="shared" si="1"/>
        <v/>
      </c>
    </row>
    <row r="429">
      <c r="A429" s="43"/>
      <c r="C429" s="17"/>
      <c r="D429" s="17"/>
      <c r="E429" s="17" t="str">
        <f>IF(D429="","",IFERROR(VLOOKUP(D429,COA!A:B,2,FALSE),"-"))</f>
        <v/>
      </c>
      <c r="F429" s="17"/>
      <c r="G429" s="17" t="str">
        <f>IF(F429="","",IFERROR(VLOOKUP(F429,COA!A:B,2,FALSE),"-"))</f>
        <v/>
      </c>
      <c r="H429" s="20"/>
      <c r="I429" s="20"/>
      <c r="J429" s="20"/>
      <c r="K429" s="20" t="str">
        <f t="shared" si="1"/>
        <v/>
      </c>
    </row>
    <row r="430">
      <c r="A430" s="43"/>
      <c r="C430" s="17"/>
      <c r="D430" s="17"/>
      <c r="E430" s="17" t="str">
        <f>IF(D430="","",IFERROR(VLOOKUP(D430,COA!A:B,2,FALSE),"-"))</f>
        <v/>
      </c>
      <c r="F430" s="17"/>
      <c r="G430" s="17" t="str">
        <f>IF(F430="","",IFERROR(VLOOKUP(F430,COA!A:B,2,FALSE),"-"))</f>
        <v/>
      </c>
      <c r="H430" s="20"/>
      <c r="I430" s="20"/>
      <c r="J430" s="20"/>
      <c r="K430" s="20" t="str">
        <f t="shared" si="1"/>
        <v/>
      </c>
    </row>
    <row r="431">
      <c r="A431" s="43"/>
      <c r="C431" s="17"/>
      <c r="D431" s="17"/>
      <c r="E431" s="17" t="str">
        <f>IF(D431="","",IFERROR(VLOOKUP(D431,COA!A:B,2,FALSE),"-"))</f>
        <v/>
      </c>
      <c r="F431" s="17"/>
      <c r="G431" s="17" t="str">
        <f>IF(F431="","",IFERROR(VLOOKUP(F431,COA!A:B,2,FALSE),"-"))</f>
        <v/>
      </c>
      <c r="H431" s="20"/>
      <c r="I431" s="20"/>
      <c r="J431" s="20"/>
      <c r="K431" s="20" t="str">
        <f t="shared" si="1"/>
        <v/>
      </c>
    </row>
    <row r="432">
      <c r="A432" s="43"/>
      <c r="C432" s="17"/>
      <c r="D432" s="17"/>
      <c r="E432" s="17" t="str">
        <f>IF(D432="","",IFERROR(VLOOKUP(D432,COA!A:B,2,FALSE),"-"))</f>
        <v/>
      </c>
      <c r="F432" s="17"/>
      <c r="G432" s="17" t="str">
        <f>IF(F432="","",IFERROR(VLOOKUP(F432,COA!A:B,2,FALSE),"-"))</f>
        <v/>
      </c>
      <c r="H432" s="20"/>
      <c r="I432" s="20"/>
      <c r="J432" s="20"/>
      <c r="K432" s="20" t="str">
        <f t="shared" si="1"/>
        <v/>
      </c>
    </row>
    <row r="433">
      <c r="A433" s="43"/>
      <c r="C433" s="17"/>
      <c r="D433" s="17"/>
      <c r="E433" s="17" t="str">
        <f>IF(D433="","",IFERROR(VLOOKUP(D433,COA!A:B,2,FALSE),"-"))</f>
        <v/>
      </c>
      <c r="F433" s="17"/>
      <c r="G433" s="17" t="str">
        <f>IF(F433="","",IFERROR(VLOOKUP(F433,COA!A:B,2,FALSE),"-"))</f>
        <v/>
      </c>
      <c r="H433" s="20"/>
      <c r="I433" s="20"/>
      <c r="J433" s="20"/>
      <c r="K433" s="20" t="str">
        <f t="shared" si="1"/>
        <v/>
      </c>
    </row>
    <row r="434">
      <c r="A434" s="43"/>
      <c r="C434" s="17"/>
      <c r="D434" s="17"/>
      <c r="E434" s="17" t="str">
        <f>IF(D434="","",IFERROR(VLOOKUP(D434,COA!A:B,2,FALSE),"-"))</f>
        <v/>
      </c>
      <c r="F434" s="17"/>
      <c r="G434" s="17" t="str">
        <f>IF(F434="","",IFERROR(VLOOKUP(F434,COA!A:B,2,FALSE),"-"))</f>
        <v/>
      </c>
      <c r="H434" s="20"/>
      <c r="I434" s="20"/>
      <c r="J434" s="20"/>
      <c r="K434" s="20" t="str">
        <f t="shared" si="1"/>
        <v/>
      </c>
    </row>
    <row r="435">
      <c r="A435" s="43"/>
      <c r="C435" s="17"/>
      <c r="D435" s="17"/>
      <c r="E435" s="17" t="str">
        <f>IF(D435="","",IFERROR(VLOOKUP(D435,COA!A:B,2,FALSE),"-"))</f>
        <v/>
      </c>
      <c r="F435" s="17"/>
      <c r="G435" s="17" t="str">
        <f>IF(F435="","",IFERROR(VLOOKUP(F435,COA!A:B,2,FALSE),"-"))</f>
        <v/>
      </c>
      <c r="H435" s="20"/>
      <c r="I435" s="20"/>
      <c r="J435" s="20"/>
      <c r="K435" s="20" t="str">
        <f t="shared" si="1"/>
        <v/>
      </c>
    </row>
    <row r="436">
      <c r="A436" s="43"/>
      <c r="C436" s="17"/>
      <c r="D436" s="17"/>
      <c r="E436" s="17" t="str">
        <f>IF(D436="","",IFERROR(VLOOKUP(D436,COA!A:B,2,FALSE),"-"))</f>
        <v/>
      </c>
      <c r="F436" s="17"/>
      <c r="G436" s="17" t="str">
        <f>IF(F436="","",IFERROR(VLOOKUP(F436,COA!A:B,2,FALSE),"-"))</f>
        <v/>
      </c>
      <c r="H436" s="20"/>
      <c r="I436" s="20"/>
      <c r="J436" s="20"/>
      <c r="K436" s="20" t="str">
        <f t="shared" si="1"/>
        <v/>
      </c>
    </row>
    <row r="437">
      <c r="A437" s="43"/>
      <c r="C437" s="17"/>
      <c r="D437" s="17"/>
      <c r="E437" s="17" t="str">
        <f>IF(D437="","",IFERROR(VLOOKUP(D437,COA!A:B,2,FALSE),"-"))</f>
        <v/>
      </c>
      <c r="F437" s="17"/>
      <c r="G437" s="17" t="str">
        <f>IF(F437="","",IFERROR(VLOOKUP(F437,COA!A:B,2,FALSE),"-"))</f>
        <v/>
      </c>
      <c r="H437" s="20"/>
      <c r="I437" s="20"/>
      <c r="J437" s="20"/>
      <c r="K437" s="20" t="str">
        <f t="shared" si="1"/>
        <v/>
      </c>
    </row>
    <row r="438">
      <c r="A438" s="43"/>
      <c r="C438" s="17"/>
      <c r="D438" s="17"/>
      <c r="E438" s="17" t="str">
        <f>IF(D438="","",IFERROR(VLOOKUP(D438,COA!A:B,2,FALSE),"-"))</f>
        <v/>
      </c>
      <c r="F438" s="17"/>
      <c r="G438" s="17" t="str">
        <f>IF(F438="","",IFERROR(VLOOKUP(F438,COA!A:B,2,FALSE),"-"))</f>
        <v/>
      </c>
      <c r="H438" s="20"/>
      <c r="I438" s="20"/>
      <c r="J438" s="20"/>
      <c r="K438" s="20" t="str">
        <f t="shared" si="1"/>
        <v/>
      </c>
    </row>
    <row r="439">
      <c r="A439" s="43"/>
      <c r="C439" s="17"/>
      <c r="D439" s="17"/>
      <c r="E439" s="17" t="str">
        <f>IF(D439="","",IFERROR(VLOOKUP(D439,COA!A:B,2,FALSE),"-"))</f>
        <v/>
      </c>
      <c r="F439" s="17"/>
      <c r="G439" s="17" t="str">
        <f>IF(F439="","",IFERROR(VLOOKUP(F439,COA!A:B,2,FALSE),"-"))</f>
        <v/>
      </c>
      <c r="H439" s="20"/>
      <c r="I439" s="20"/>
      <c r="J439" s="20"/>
      <c r="K439" s="20" t="str">
        <f t="shared" si="1"/>
        <v/>
      </c>
    </row>
    <row r="440">
      <c r="A440" s="43"/>
      <c r="C440" s="17"/>
      <c r="D440" s="17"/>
      <c r="E440" s="17" t="str">
        <f>IF(D440="","",IFERROR(VLOOKUP(D440,COA!A:B,2,FALSE),"-"))</f>
        <v/>
      </c>
      <c r="F440" s="17"/>
      <c r="G440" s="17" t="str">
        <f>IF(F440="","",IFERROR(VLOOKUP(F440,COA!A:B,2,FALSE),"-"))</f>
        <v/>
      </c>
      <c r="H440" s="20"/>
      <c r="I440" s="20"/>
      <c r="J440" s="20"/>
      <c r="K440" s="20" t="str">
        <f t="shared" si="1"/>
        <v/>
      </c>
    </row>
    <row r="441">
      <c r="A441" s="43"/>
      <c r="C441" s="17"/>
      <c r="D441" s="17"/>
      <c r="E441" s="17" t="str">
        <f>IF(D441="","",IFERROR(VLOOKUP(D441,COA!A:B,2,FALSE),"-"))</f>
        <v/>
      </c>
      <c r="F441" s="17"/>
      <c r="G441" s="17" t="str">
        <f>IF(F441="","",IFERROR(VLOOKUP(F441,COA!A:B,2,FALSE),"-"))</f>
        <v/>
      </c>
      <c r="H441" s="20"/>
      <c r="I441" s="20"/>
      <c r="J441" s="20"/>
      <c r="K441" s="20" t="str">
        <f t="shared" si="1"/>
        <v/>
      </c>
    </row>
    <row r="442">
      <c r="A442" s="43"/>
      <c r="C442" s="17"/>
      <c r="D442" s="17"/>
      <c r="E442" s="17" t="str">
        <f>IF(D442="","",IFERROR(VLOOKUP(D442,COA!A:B,2,FALSE),"-"))</f>
        <v/>
      </c>
      <c r="F442" s="17"/>
      <c r="G442" s="17" t="str">
        <f>IF(F442="","",IFERROR(VLOOKUP(F442,COA!A:B,2,FALSE),"-"))</f>
        <v/>
      </c>
      <c r="H442" s="20"/>
      <c r="I442" s="20"/>
      <c r="J442" s="20"/>
      <c r="K442" s="20" t="str">
        <f t="shared" si="1"/>
        <v/>
      </c>
    </row>
    <row r="443">
      <c r="A443" s="43"/>
      <c r="C443" s="17"/>
      <c r="D443" s="17"/>
      <c r="E443" s="17" t="str">
        <f>IF(D443="","",IFERROR(VLOOKUP(D443,COA!A:B,2,FALSE),"-"))</f>
        <v/>
      </c>
      <c r="F443" s="17"/>
      <c r="G443" s="17" t="str">
        <f>IF(F443="","",IFERROR(VLOOKUP(F443,COA!A:B,2,FALSE),"-"))</f>
        <v/>
      </c>
      <c r="H443" s="20"/>
      <c r="I443" s="20"/>
      <c r="J443" s="20"/>
      <c r="K443" s="20" t="str">
        <f t="shared" si="1"/>
        <v/>
      </c>
    </row>
    <row r="444">
      <c r="A444" s="43"/>
      <c r="C444" s="17"/>
      <c r="D444" s="17"/>
      <c r="E444" s="17" t="str">
        <f>IF(D444="","",IFERROR(VLOOKUP(D444,COA!A:B,2,FALSE),"-"))</f>
        <v/>
      </c>
      <c r="F444" s="17"/>
      <c r="G444" s="17" t="str">
        <f>IF(F444="","",IFERROR(VLOOKUP(F444,COA!A:B,2,FALSE),"-"))</f>
        <v/>
      </c>
      <c r="H444" s="20"/>
      <c r="I444" s="20"/>
      <c r="J444" s="20"/>
      <c r="K444" s="20" t="str">
        <f t="shared" si="1"/>
        <v/>
      </c>
    </row>
    <row r="445">
      <c r="A445" s="43"/>
      <c r="C445" s="17"/>
      <c r="D445" s="17"/>
      <c r="E445" s="17" t="str">
        <f>IF(D445="","",IFERROR(VLOOKUP(D445,COA!A:B,2,FALSE),"-"))</f>
        <v/>
      </c>
      <c r="F445" s="17"/>
      <c r="G445" s="17" t="str">
        <f>IF(F445="","",IFERROR(VLOOKUP(F445,COA!A:B,2,FALSE),"-"))</f>
        <v/>
      </c>
      <c r="H445" s="20"/>
      <c r="I445" s="20"/>
      <c r="J445" s="20"/>
      <c r="K445" s="20" t="str">
        <f t="shared" si="1"/>
        <v/>
      </c>
    </row>
    <row r="446">
      <c r="A446" s="43"/>
      <c r="C446" s="17"/>
      <c r="D446" s="17"/>
      <c r="E446" s="17" t="str">
        <f>IF(D446="","",IFERROR(VLOOKUP(D446,COA!A:B,2,FALSE),"-"))</f>
        <v/>
      </c>
      <c r="F446" s="17"/>
      <c r="G446" s="17" t="str">
        <f>IF(F446="","",IFERROR(VLOOKUP(F446,COA!A:B,2,FALSE),"-"))</f>
        <v/>
      </c>
      <c r="H446" s="20"/>
      <c r="I446" s="20"/>
      <c r="J446" s="20"/>
      <c r="K446" s="20" t="str">
        <f t="shared" si="1"/>
        <v/>
      </c>
    </row>
    <row r="447">
      <c r="A447" s="43"/>
      <c r="C447" s="17"/>
      <c r="D447" s="17"/>
      <c r="E447" s="17" t="str">
        <f>IF(D447="","",IFERROR(VLOOKUP(D447,COA!A:B,2,FALSE),"-"))</f>
        <v/>
      </c>
      <c r="F447" s="17"/>
      <c r="G447" s="17" t="str">
        <f>IF(F447="","",IFERROR(VLOOKUP(F447,COA!A:B,2,FALSE),"-"))</f>
        <v/>
      </c>
      <c r="H447" s="20"/>
      <c r="I447" s="20"/>
      <c r="J447" s="20"/>
      <c r="K447" s="20" t="str">
        <f t="shared" si="1"/>
        <v/>
      </c>
    </row>
    <row r="448">
      <c r="A448" s="43"/>
      <c r="C448" s="17"/>
      <c r="D448" s="17"/>
      <c r="E448" s="17" t="str">
        <f>IF(D448="","",IFERROR(VLOOKUP(D448,COA!A:B,2,FALSE),"-"))</f>
        <v/>
      </c>
      <c r="F448" s="17"/>
      <c r="G448" s="17" t="str">
        <f>IF(F448="","",IFERROR(VLOOKUP(F448,COA!A:B,2,FALSE),"-"))</f>
        <v/>
      </c>
      <c r="H448" s="20"/>
      <c r="I448" s="20"/>
      <c r="J448" s="20"/>
      <c r="K448" s="20" t="str">
        <f t="shared" si="1"/>
        <v/>
      </c>
    </row>
    <row r="449">
      <c r="A449" s="43"/>
      <c r="C449" s="17"/>
      <c r="D449" s="17"/>
      <c r="E449" s="17" t="str">
        <f>IF(D449="","",IFERROR(VLOOKUP(D449,COA!A:B,2,FALSE),"-"))</f>
        <v/>
      </c>
      <c r="F449" s="17"/>
      <c r="G449" s="17" t="str">
        <f>IF(F449="","",IFERROR(VLOOKUP(F449,COA!A:B,2,FALSE),"-"))</f>
        <v/>
      </c>
      <c r="H449" s="20"/>
      <c r="I449" s="20"/>
      <c r="J449" s="20"/>
      <c r="K449" s="20" t="str">
        <f t="shared" si="1"/>
        <v/>
      </c>
    </row>
    <row r="450">
      <c r="A450" s="43"/>
      <c r="C450" s="17"/>
      <c r="D450" s="17"/>
      <c r="E450" s="17" t="str">
        <f>IF(D450="","",IFERROR(VLOOKUP(D450,COA!A:B,2,FALSE),"-"))</f>
        <v/>
      </c>
      <c r="F450" s="17"/>
      <c r="G450" s="17" t="str">
        <f>IF(F450="","",IFERROR(VLOOKUP(F450,COA!A:B,2,FALSE),"-"))</f>
        <v/>
      </c>
      <c r="H450" s="20"/>
      <c r="I450" s="20"/>
      <c r="J450" s="20"/>
      <c r="K450" s="20" t="str">
        <f t="shared" si="1"/>
        <v/>
      </c>
    </row>
    <row r="451">
      <c r="A451" s="43"/>
      <c r="C451" s="17"/>
      <c r="D451" s="17"/>
      <c r="E451" s="17" t="str">
        <f>IF(D451="","",IFERROR(VLOOKUP(D451,COA!A:B,2,FALSE),"-"))</f>
        <v/>
      </c>
      <c r="F451" s="17"/>
      <c r="G451" s="17" t="str">
        <f>IF(F451="","",IFERROR(VLOOKUP(F451,COA!A:B,2,FALSE),"-"))</f>
        <v/>
      </c>
      <c r="H451" s="20"/>
      <c r="I451" s="20"/>
      <c r="J451" s="20"/>
      <c r="K451" s="20" t="str">
        <f t="shared" si="1"/>
        <v/>
      </c>
    </row>
    <row r="452">
      <c r="A452" s="43"/>
      <c r="C452" s="17"/>
      <c r="D452" s="17"/>
      <c r="E452" s="17" t="str">
        <f>IF(D452="","",IFERROR(VLOOKUP(D452,COA!A:B,2,FALSE),"-"))</f>
        <v/>
      </c>
      <c r="F452" s="17"/>
      <c r="G452" s="17" t="str">
        <f>IF(F452="","",IFERROR(VLOOKUP(F452,COA!A:B,2,FALSE),"-"))</f>
        <v/>
      </c>
      <c r="H452" s="20"/>
      <c r="I452" s="20"/>
      <c r="J452" s="20"/>
      <c r="K452" s="20" t="str">
        <f t="shared" si="1"/>
        <v/>
      </c>
    </row>
    <row r="453">
      <c r="A453" s="43"/>
      <c r="C453" s="17"/>
      <c r="D453" s="17"/>
      <c r="E453" s="17" t="str">
        <f>IF(D453="","",IFERROR(VLOOKUP(D453,COA!A:B,2,FALSE),"-"))</f>
        <v/>
      </c>
      <c r="F453" s="17"/>
      <c r="G453" s="17" t="str">
        <f>IF(F453="","",IFERROR(VLOOKUP(F453,COA!A:B,2,FALSE),"-"))</f>
        <v/>
      </c>
      <c r="H453" s="20"/>
      <c r="I453" s="20"/>
      <c r="J453" s="20"/>
      <c r="K453" s="20" t="str">
        <f t="shared" si="1"/>
        <v/>
      </c>
    </row>
    <row r="454">
      <c r="A454" s="43"/>
      <c r="C454" s="17"/>
      <c r="D454" s="17"/>
      <c r="E454" s="17" t="str">
        <f>IF(D454="","",IFERROR(VLOOKUP(D454,COA!A:B,2,FALSE),"-"))</f>
        <v/>
      </c>
      <c r="F454" s="17"/>
      <c r="G454" s="17" t="str">
        <f>IF(F454="","",IFERROR(VLOOKUP(F454,COA!A:B,2,FALSE),"-"))</f>
        <v/>
      </c>
      <c r="H454" s="20"/>
      <c r="I454" s="20"/>
      <c r="J454" s="20"/>
      <c r="K454" s="20" t="str">
        <f t="shared" si="1"/>
        <v/>
      </c>
    </row>
    <row r="455">
      <c r="A455" s="43"/>
      <c r="C455" s="17"/>
      <c r="D455" s="17"/>
      <c r="E455" s="17" t="str">
        <f>IF(D455="","",IFERROR(VLOOKUP(D455,COA!A:B,2,FALSE),"-"))</f>
        <v/>
      </c>
      <c r="F455" s="17"/>
      <c r="G455" s="17" t="str">
        <f>IF(F455="","",IFERROR(VLOOKUP(F455,COA!A:B,2,FALSE),"-"))</f>
        <v/>
      </c>
      <c r="H455" s="20"/>
      <c r="I455" s="20"/>
      <c r="J455" s="20"/>
      <c r="K455" s="20" t="str">
        <f t="shared" si="1"/>
        <v/>
      </c>
    </row>
    <row r="456">
      <c r="A456" s="43"/>
      <c r="C456" s="17"/>
      <c r="D456" s="17"/>
      <c r="E456" s="17" t="str">
        <f>IF(D456="","",IFERROR(VLOOKUP(D456,COA!A:B,2,FALSE),"-"))</f>
        <v/>
      </c>
      <c r="F456" s="17"/>
      <c r="G456" s="17" t="str">
        <f>IF(F456="","",IFERROR(VLOOKUP(F456,COA!A:B,2,FALSE),"-"))</f>
        <v/>
      </c>
      <c r="H456" s="20"/>
      <c r="I456" s="20"/>
      <c r="J456" s="20"/>
      <c r="K456" s="20" t="str">
        <f t="shared" si="1"/>
        <v/>
      </c>
    </row>
    <row r="457">
      <c r="A457" s="43"/>
      <c r="C457" s="17"/>
      <c r="D457" s="17"/>
      <c r="E457" s="17" t="str">
        <f>IF(D457="","",IFERROR(VLOOKUP(D457,COA!A:B,2,FALSE),"-"))</f>
        <v/>
      </c>
      <c r="F457" s="17"/>
      <c r="G457" s="17" t="str">
        <f>IF(F457="","",IFERROR(VLOOKUP(F457,COA!A:B,2,FALSE),"-"))</f>
        <v/>
      </c>
      <c r="H457" s="20"/>
      <c r="I457" s="20"/>
      <c r="J457" s="20"/>
      <c r="K457" s="20" t="str">
        <f t="shared" si="1"/>
        <v/>
      </c>
    </row>
    <row r="458">
      <c r="A458" s="43"/>
      <c r="C458" s="17"/>
      <c r="D458" s="17"/>
      <c r="E458" s="17" t="str">
        <f>IF(D458="","",IFERROR(VLOOKUP(D458,COA!A:B,2,FALSE),"-"))</f>
        <v/>
      </c>
      <c r="F458" s="17"/>
      <c r="G458" s="17" t="str">
        <f>IF(F458="","",IFERROR(VLOOKUP(F458,COA!A:B,2,FALSE),"-"))</f>
        <v/>
      </c>
      <c r="H458" s="20"/>
      <c r="I458" s="20"/>
      <c r="J458" s="20"/>
      <c r="K458" s="20" t="str">
        <f t="shared" si="1"/>
        <v/>
      </c>
    </row>
    <row r="459">
      <c r="A459" s="43"/>
      <c r="C459" s="17"/>
      <c r="D459" s="17"/>
      <c r="E459" s="17" t="str">
        <f>IF(D459="","",IFERROR(VLOOKUP(D459,COA!A:B,2,FALSE),"-"))</f>
        <v/>
      </c>
      <c r="F459" s="17"/>
      <c r="G459" s="17" t="str">
        <f>IF(F459="","",IFERROR(VLOOKUP(F459,COA!A:B,2,FALSE),"-"))</f>
        <v/>
      </c>
      <c r="H459" s="20"/>
      <c r="I459" s="20"/>
      <c r="J459" s="20"/>
      <c r="K459" s="20" t="str">
        <f t="shared" si="1"/>
        <v/>
      </c>
    </row>
    <row r="460">
      <c r="A460" s="43"/>
      <c r="C460" s="17"/>
      <c r="D460" s="17"/>
      <c r="E460" s="17" t="str">
        <f>IF(D460="","",IFERROR(VLOOKUP(D460,COA!A:B,2,FALSE),"-"))</f>
        <v/>
      </c>
      <c r="F460" s="17"/>
      <c r="G460" s="17" t="str">
        <f>IF(F460="","",IFERROR(VLOOKUP(F460,COA!A:B,2,FALSE),"-"))</f>
        <v/>
      </c>
      <c r="H460" s="20"/>
      <c r="I460" s="20"/>
      <c r="J460" s="20"/>
      <c r="K460" s="20" t="str">
        <f t="shared" si="1"/>
        <v/>
      </c>
    </row>
    <row r="461">
      <c r="A461" s="43"/>
      <c r="C461" s="17"/>
      <c r="D461" s="17"/>
      <c r="E461" s="17" t="str">
        <f>IF(D461="","",IFERROR(VLOOKUP(D461,COA!A:B,2,FALSE),"-"))</f>
        <v/>
      </c>
      <c r="F461" s="17"/>
      <c r="G461" s="17" t="str">
        <f>IF(F461="","",IFERROR(VLOOKUP(F461,COA!A:B,2,FALSE),"-"))</f>
        <v/>
      </c>
      <c r="H461" s="20"/>
      <c r="I461" s="20"/>
      <c r="J461" s="20"/>
      <c r="K461" s="20" t="str">
        <f t="shared" si="1"/>
        <v/>
      </c>
    </row>
    <row r="462">
      <c r="A462" s="43"/>
      <c r="C462" s="17"/>
      <c r="D462" s="17"/>
      <c r="E462" s="17" t="str">
        <f>IF(D462="","",IFERROR(VLOOKUP(D462,COA!A:B,2,FALSE),"-"))</f>
        <v/>
      </c>
      <c r="F462" s="17"/>
      <c r="G462" s="17" t="str">
        <f>IF(F462="","",IFERROR(VLOOKUP(F462,COA!A:B,2,FALSE),"-"))</f>
        <v/>
      </c>
      <c r="H462" s="20"/>
      <c r="I462" s="20"/>
      <c r="J462" s="20"/>
      <c r="K462" s="20" t="str">
        <f t="shared" si="1"/>
        <v/>
      </c>
    </row>
    <row r="463">
      <c r="A463" s="43"/>
      <c r="C463" s="17"/>
      <c r="D463" s="17"/>
      <c r="E463" s="17" t="str">
        <f>IF(D463="","",IFERROR(VLOOKUP(D463,COA!A:B,2,FALSE),"-"))</f>
        <v/>
      </c>
      <c r="F463" s="17"/>
      <c r="G463" s="17" t="str">
        <f>IF(F463="","",IFERROR(VLOOKUP(F463,COA!A:B,2,FALSE),"-"))</f>
        <v/>
      </c>
      <c r="H463" s="20"/>
      <c r="I463" s="20"/>
      <c r="J463" s="20"/>
      <c r="K463" s="20" t="str">
        <f t="shared" si="1"/>
        <v/>
      </c>
    </row>
    <row r="464">
      <c r="A464" s="43"/>
      <c r="C464" s="17"/>
      <c r="D464" s="17"/>
      <c r="E464" s="17" t="str">
        <f>IF(D464="","",IFERROR(VLOOKUP(D464,COA!A:B,2,FALSE),"-"))</f>
        <v/>
      </c>
      <c r="F464" s="17"/>
      <c r="G464" s="17" t="str">
        <f>IF(F464="","",IFERROR(VLOOKUP(F464,COA!A:B,2,FALSE),"-"))</f>
        <v/>
      </c>
      <c r="H464" s="20"/>
      <c r="I464" s="20"/>
      <c r="J464" s="20"/>
      <c r="K464" s="20" t="str">
        <f t="shared" si="1"/>
        <v/>
      </c>
    </row>
    <row r="465">
      <c r="A465" s="43"/>
      <c r="C465" s="17"/>
      <c r="D465" s="17"/>
      <c r="E465" s="17" t="str">
        <f>IF(D465="","",IFERROR(VLOOKUP(D465,COA!A:B,2,FALSE),"-"))</f>
        <v/>
      </c>
      <c r="F465" s="17"/>
      <c r="G465" s="17" t="str">
        <f>IF(F465="","",IFERROR(VLOOKUP(F465,COA!A:B,2,FALSE),"-"))</f>
        <v/>
      </c>
      <c r="H465" s="20"/>
      <c r="I465" s="20"/>
      <c r="J465" s="20"/>
      <c r="K465" s="20" t="str">
        <f t="shared" si="1"/>
        <v/>
      </c>
    </row>
    <row r="466">
      <c r="A466" s="43"/>
      <c r="C466" s="17"/>
      <c r="D466" s="17"/>
      <c r="E466" s="17" t="str">
        <f>IF(D466="","",IFERROR(VLOOKUP(D466,COA!A:B,2,FALSE),"-"))</f>
        <v/>
      </c>
      <c r="F466" s="17"/>
      <c r="G466" s="17" t="str">
        <f>IF(F466="","",IFERROR(VLOOKUP(F466,COA!A:B,2,FALSE),"-"))</f>
        <v/>
      </c>
      <c r="H466" s="20"/>
      <c r="I466" s="20"/>
      <c r="J466" s="20"/>
      <c r="K466" s="20" t="str">
        <f t="shared" si="1"/>
        <v/>
      </c>
    </row>
    <row r="467">
      <c r="A467" s="43"/>
      <c r="C467" s="17"/>
      <c r="D467" s="17"/>
      <c r="E467" s="17" t="str">
        <f>IF(D467="","",IFERROR(VLOOKUP(D467,COA!A:B,2,FALSE),"-"))</f>
        <v/>
      </c>
      <c r="F467" s="17"/>
      <c r="G467" s="17" t="str">
        <f>IF(F467="","",IFERROR(VLOOKUP(F467,COA!A:B,2,FALSE),"-"))</f>
        <v/>
      </c>
      <c r="H467" s="20"/>
      <c r="I467" s="20"/>
      <c r="J467" s="20"/>
      <c r="K467" s="20" t="str">
        <f t="shared" si="1"/>
        <v/>
      </c>
    </row>
    <row r="468">
      <c r="A468" s="43"/>
      <c r="C468" s="17"/>
      <c r="D468" s="17"/>
      <c r="E468" s="17" t="str">
        <f>IF(D468="","",IFERROR(VLOOKUP(D468,COA!A:B,2,FALSE),"-"))</f>
        <v/>
      </c>
      <c r="F468" s="17"/>
      <c r="G468" s="17" t="str">
        <f>IF(F468="","",IFERROR(VLOOKUP(F468,COA!A:B,2,FALSE),"-"))</f>
        <v/>
      </c>
      <c r="H468" s="20"/>
      <c r="I468" s="20"/>
      <c r="J468" s="20"/>
      <c r="K468" s="20" t="str">
        <f t="shared" si="1"/>
        <v/>
      </c>
    </row>
    <row r="469">
      <c r="A469" s="43"/>
      <c r="C469" s="17"/>
      <c r="D469" s="17"/>
      <c r="E469" s="17" t="str">
        <f>IF(D469="","",IFERROR(VLOOKUP(D469,COA!A:B,2,FALSE),"-"))</f>
        <v/>
      </c>
      <c r="F469" s="17"/>
      <c r="G469" s="17" t="str">
        <f>IF(F469="","",IFERROR(VLOOKUP(F469,COA!A:B,2,FALSE),"-"))</f>
        <v/>
      </c>
      <c r="H469" s="20"/>
      <c r="I469" s="20"/>
      <c r="J469" s="20"/>
      <c r="K469" s="20" t="str">
        <f t="shared" si="1"/>
        <v/>
      </c>
    </row>
    <row r="470">
      <c r="A470" s="43"/>
      <c r="C470" s="17"/>
      <c r="D470" s="17"/>
      <c r="E470" s="17" t="str">
        <f>IF(D470="","",IFERROR(VLOOKUP(D470,COA!A:B,2,FALSE),"-"))</f>
        <v/>
      </c>
      <c r="F470" s="17"/>
      <c r="G470" s="17" t="str">
        <f>IF(F470="","",IFERROR(VLOOKUP(F470,COA!A:B,2,FALSE),"-"))</f>
        <v/>
      </c>
      <c r="H470" s="20"/>
      <c r="I470" s="20"/>
      <c r="J470" s="20"/>
      <c r="K470" s="20" t="str">
        <f t="shared" si="1"/>
        <v/>
      </c>
    </row>
    <row r="471">
      <c r="A471" s="43"/>
      <c r="C471" s="17"/>
      <c r="D471" s="17"/>
      <c r="E471" s="17" t="str">
        <f>IF(D471="","",IFERROR(VLOOKUP(D471,COA!A:B,2,FALSE),"-"))</f>
        <v/>
      </c>
      <c r="F471" s="17"/>
      <c r="G471" s="17" t="str">
        <f>IF(F471="","",IFERROR(VLOOKUP(F471,COA!A:B,2,FALSE),"-"))</f>
        <v/>
      </c>
      <c r="H471" s="20"/>
      <c r="I471" s="20"/>
      <c r="J471" s="20"/>
      <c r="K471" s="20" t="str">
        <f t="shared" si="1"/>
        <v/>
      </c>
    </row>
    <row r="472">
      <c r="A472" s="43"/>
      <c r="C472" s="17"/>
      <c r="D472" s="17"/>
      <c r="E472" s="17" t="str">
        <f>IF(D472="","",IFERROR(VLOOKUP(D472,COA!A:B,2,FALSE),"-"))</f>
        <v/>
      </c>
      <c r="F472" s="17"/>
      <c r="G472" s="17" t="str">
        <f>IF(F472="","",IFERROR(VLOOKUP(F472,COA!A:B,2,FALSE),"-"))</f>
        <v/>
      </c>
      <c r="H472" s="20"/>
      <c r="I472" s="20"/>
      <c r="J472" s="20"/>
      <c r="K472" s="20" t="str">
        <f t="shared" si="1"/>
        <v/>
      </c>
    </row>
    <row r="473">
      <c r="A473" s="43"/>
      <c r="C473" s="17"/>
      <c r="D473" s="17"/>
      <c r="E473" s="17" t="str">
        <f>IF(D473="","",IFERROR(VLOOKUP(D473,COA!A:B,2,FALSE),"-"))</f>
        <v/>
      </c>
      <c r="F473" s="17"/>
      <c r="G473" s="17" t="str">
        <f>IF(F473="","",IFERROR(VLOOKUP(F473,COA!A:B,2,FALSE),"-"))</f>
        <v/>
      </c>
      <c r="H473" s="20"/>
      <c r="I473" s="20"/>
      <c r="J473" s="20"/>
      <c r="K473" s="20" t="str">
        <f t="shared" si="1"/>
        <v/>
      </c>
    </row>
    <row r="474">
      <c r="A474" s="43"/>
      <c r="C474" s="17"/>
      <c r="D474" s="17"/>
      <c r="E474" s="17" t="str">
        <f>IF(D474="","",IFERROR(VLOOKUP(D474,COA!A:B,2,FALSE),"-"))</f>
        <v/>
      </c>
      <c r="F474" s="17"/>
      <c r="G474" s="17" t="str">
        <f>IF(F474="","",IFERROR(VLOOKUP(F474,COA!A:B,2,FALSE),"-"))</f>
        <v/>
      </c>
      <c r="H474" s="20"/>
      <c r="I474" s="20"/>
      <c r="J474" s="20"/>
      <c r="K474" s="20" t="str">
        <f t="shared" si="1"/>
        <v/>
      </c>
    </row>
    <row r="475">
      <c r="A475" s="43"/>
      <c r="C475" s="17"/>
      <c r="D475" s="17"/>
      <c r="E475" s="17" t="str">
        <f>IF(D475="","",IFERROR(VLOOKUP(D475,COA!A:B,2,FALSE),"-"))</f>
        <v/>
      </c>
      <c r="F475" s="17"/>
      <c r="G475" s="17" t="str">
        <f>IF(F475="","",IFERROR(VLOOKUP(F475,COA!A:B,2,FALSE),"-"))</f>
        <v/>
      </c>
      <c r="H475" s="20"/>
      <c r="I475" s="20"/>
      <c r="J475" s="20"/>
      <c r="K475" s="20" t="str">
        <f t="shared" si="1"/>
        <v/>
      </c>
    </row>
    <row r="476">
      <c r="A476" s="43"/>
      <c r="C476" s="17"/>
      <c r="D476" s="17"/>
      <c r="E476" s="17" t="str">
        <f>IF(D476="","",IFERROR(VLOOKUP(D476,COA!A:B,2,FALSE),"-"))</f>
        <v/>
      </c>
      <c r="F476" s="17"/>
      <c r="G476" s="17" t="str">
        <f>IF(F476="","",IFERROR(VLOOKUP(F476,COA!A:B,2,FALSE),"-"))</f>
        <v/>
      </c>
      <c r="H476" s="20"/>
      <c r="I476" s="20"/>
      <c r="J476" s="20"/>
      <c r="K476" s="20" t="str">
        <f t="shared" si="1"/>
        <v/>
      </c>
    </row>
    <row r="477">
      <c r="A477" s="43"/>
      <c r="C477" s="17"/>
      <c r="D477" s="17"/>
      <c r="E477" s="17" t="str">
        <f>IF(D477="","",IFERROR(VLOOKUP(D477,COA!A:B,2,FALSE),"-"))</f>
        <v/>
      </c>
      <c r="F477" s="17"/>
      <c r="G477" s="17" t="str">
        <f>IF(F477="","",IFERROR(VLOOKUP(F477,COA!A:B,2,FALSE),"-"))</f>
        <v/>
      </c>
      <c r="H477" s="20"/>
      <c r="I477" s="20"/>
      <c r="J477" s="20"/>
      <c r="K477" s="20" t="str">
        <f t="shared" si="1"/>
        <v/>
      </c>
    </row>
    <row r="478">
      <c r="A478" s="43"/>
      <c r="C478" s="17"/>
      <c r="D478" s="17"/>
      <c r="E478" s="17" t="str">
        <f>IF(D478="","",IFERROR(VLOOKUP(D478,COA!A:B,2,FALSE),"-"))</f>
        <v/>
      </c>
      <c r="F478" s="17"/>
      <c r="G478" s="17" t="str">
        <f>IF(F478="","",IFERROR(VLOOKUP(F478,COA!A:B,2,FALSE),"-"))</f>
        <v/>
      </c>
      <c r="H478" s="20"/>
      <c r="I478" s="20"/>
      <c r="J478" s="20"/>
      <c r="K478" s="20" t="str">
        <f t="shared" si="1"/>
        <v/>
      </c>
    </row>
    <row r="479">
      <c r="A479" s="43"/>
      <c r="C479" s="17"/>
      <c r="D479" s="17"/>
      <c r="E479" s="17" t="str">
        <f>IF(D479="","",IFERROR(VLOOKUP(D479,COA!A:B,2,FALSE),"-"))</f>
        <v/>
      </c>
      <c r="F479" s="17"/>
      <c r="G479" s="17" t="str">
        <f>IF(F479="","",IFERROR(VLOOKUP(F479,COA!A:B,2,FALSE),"-"))</f>
        <v/>
      </c>
      <c r="H479" s="20"/>
      <c r="I479" s="20"/>
      <c r="J479" s="20"/>
      <c r="K479" s="20" t="str">
        <f t="shared" si="1"/>
        <v/>
      </c>
    </row>
    <row r="480">
      <c r="A480" s="43"/>
      <c r="C480" s="17"/>
      <c r="D480" s="17"/>
      <c r="E480" s="17" t="str">
        <f>IF(D480="","",IFERROR(VLOOKUP(D480,COA!A:B,2,FALSE),"-"))</f>
        <v/>
      </c>
      <c r="F480" s="17"/>
      <c r="G480" s="17" t="str">
        <f>IF(F480="","",IFERROR(VLOOKUP(F480,COA!A:B,2,FALSE),"-"))</f>
        <v/>
      </c>
      <c r="H480" s="20"/>
      <c r="I480" s="20"/>
      <c r="J480" s="20"/>
      <c r="K480" s="20" t="str">
        <f t="shared" si="1"/>
        <v/>
      </c>
    </row>
    <row r="481">
      <c r="A481" s="43"/>
      <c r="C481" s="17"/>
      <c r="D481" s="17"/>
      <c r="E481" s="17" t="str">
        <f>IF(D481="","",IFERROR(VLOOKUP(D481,COA!A:B,2,FALSE),"-"))</f>
        <v/>
      </c>
      <c r="F481" s="17"/>
      <c r="G481" s="17" t="str">
        <f>IF(F481="","",IFERROR(VLOOKUP(F481,COA!A:B,2,FALSE),"-"))</f>
        <v/>
      </c>
      <c r="H481" s="20"/>
      <c r="I481" s="20"/>
      <c r="J481" s="20"/>
      <c r="K481" s="20" t="str">
        <f t="shared" si="1"/>
        <v/>
      </c>
    </row>
    <row r="482">
      <c r="A482" s="43"/>
      <c r="C482" s="17"/>
      <c r="D482" s="17"/>
      <c r="E482" s="17" t="str">
        <f>IF(D482="","",IFERROR(VLOOKUP(D482,COA!A:B,2,FALSE),"-"))</f>
        <v/>
      </c>
      <c r="F482" s="17"/>
      <c r="G482" s="17" t="str">
        <f>IF(F482="","",IFERROR(VLOOKUP(F482,COA!A:B,2,FALSE),"-"))</f>
        <v/>
      </c>
      <c r="H482" s="20"/>
      <c r="I482" s="20"/>
      <c r="J482" s="20"/>
      <c r="K482" s="20" t="str">
        <f t="shared" si="1"/>
        <v/>
      </c>
    </row>
    <row r="483">
      <c r="A483" s="43"/>
      <c r="C483" s="17"/>
      <c r="D483" s="17"/>
      <c r="E483" s="17" t="str">
        <f>IF(D483="","",IFERROR(VLOOKUP(D483,COA!A:B,2,FALSE),"-"))</f>
        <v/>
      </c>
      <c r="F483" s="17"/>
      <c r="G483" s="17" t="str">
        <f>IF(F483="","",IFERROR(VLOOKUP(F483,COA!A:B,2,FALSE),"-"))</f>
        <v/>
      </c>
      <c r="H483" s="20"/>
      <c r="I483" s="20"/>
      <c r="J483" s="20"/>
      <c r="K483" s="20" t="str">
        <f t="shared" si="1"/>
        <v/>
      </c>
    </row>
    <row r="484">
      <c r="A484" s="43"/>
      <c r="C484" s="17"/>
      <c r="D484" s="17"/>
      <c r="E484" s="17" t="str">
        <f>IF(D484="","",IFERROR(VLOOKUP(D484,COA!A:B,2,FALSE),"-"))</f>
        <v/>
      </c>
      <c r="F484" s="17"/>
      <c r="G484" s="17" t="str">
        <f>IF(F484="","",IFERROR(VLOOKUP(F484,COA!A:B,2,FALSE),"-"))</f>
        <v/>
      </c>
      <c r="H484" s="20"/>
      <c r="I484" s="20"/>
      <c r="J484" s="20"/>
      <c r="K484" s="20" t="str">
        <f t="shared" si="1"/>
        <v/>
      </c>
    </row>
    <row r="485">
      <c r="A485" s="43"/>
      <c r="C485" s="17"/>
      <c r="D485" s="17"/>
      <c r="E485" s="17" t="str">
        <f>IF(D485="","",IFERROR(VLOOKUP(D485,COA!A:B,2,FALSE),"-"))</f>
        <v/>
      </c>
      <c r="F485" s="17"/>
      <c r="G485" s="17" t="str">
        <f>IF(F485="","",IFERROR(VLOOKUP(F485,COA!A:B,2,FALSE),"-"))</f>
        <v/>
      </c>
      <c r="H485" s="20"/>
      <c r="I485" s="20"/>
      <c r="J485" s="20"/>
      <c r="K485" s="20" t="str">
        <f t="shared" si="1"/>
        <v/>
      </c>
    </row>
    <row r="486">
      <c r="A486" s="43"/>
      <c r="C486" s="17"/>
      <c r="D486" s="17"/>
      <c r="E486" s="17" t="str">
        <f>IF(D486="","",IFERROR(VLOOKUP(D486,COA!A:B,2,FALSE),"-"))</f>
        <v/>
      </c>
      <c r="F486" s="17"/>
      <c r="G486" s="17" t="str">
        <f>IF(F486="","",IFERROR(VLOOKUP(F486,COA!A:B,2,FALSE),"-"))</f>
        <v/>
      </c>
      <c r="H486" s="20"/>
      <c r="I486" s="20"/>
      <c r="J486" s="20"/>
      <c r="K486" s="20" t="str">
        <f t="shared" si="1"/>
        <v/>
      </c>
    </row>
    <row r="487">
      <c r="A487" s="43"/>
      <c r="C487" s="17"/>
      <c r="D487" s="17"/>
      <c r="E487" s="17" t="str">
        <f>IF(D487="","",IFERROR(VLOOKUP(D487,COA!A:B,2,FALSE),"-"))</f>
        <v/>
      </c>
      <c r="F487" s="17"/>
      <c r="G487" s="17" t="str">
        <f>IF(F487="","",IFERROR(VLOOKUP(F487,COA!A:B,2,FALSE),"-"))</f>
        <v/>
      </c>
      <c r="H487" s="20"/>
      <c r="I487" s="20"/>
      <c r="J487" s="20"/>
      <c r="K487" s="20" t="str">
        <f t="shared" si="1"/>
        <v/>
      </c>
    </row>
    <row r="488">
      <c r="A488" s="43"/>
      <c r="C488" s="17"/>
      <c r="D488" s="17"/>
      <c r="E488" s="17" t="str">
        <f>IF(D488="","",IFERROR(VLOOKUP(D488,COA!A:B,2,FALSE),"-"))</f>
        <v/>
      </c>
      <c r="F488" s="17"/>
      <c r="G488" s="17" t="str">
        <f>IF(F488="","",IFERROR(VLOOKUP(F488,COA!A:B,2,FALSE),"-"))</f>
        <v/>
      </c>
      <c r="H488" s="20"/>
      <c r="I488" s="20"/>
      <c r="J488" s="20"/>
      <c r="K488" s="20" t="str">
        <f t="shared" si="1"/>
        <v/>
      </c>
    </row>
    <row r="489">
      <c r="A489" s="43"/>
      <c r="C489" s="17"/>
      <c r="D489" s="17"/>
      <c r="E489" s="17" t="str">
        <f>IF(D489="","",IFERROR(VLOOKUP(D489,COA!A:B,2,FALSE),"-"))</f>
        <v/>
      </c>
      <c r="F489" s="17"/>
      <c r="G489" s="17" t="str">
        <f>IF(F489="","",IFERROR(VLOOKUP(F489,COA!A:B,2,FALSE),"-"))</f>
        <v/>
      </c>
      <c r="H489" s="20"/>
      <c r="I489" s="20"/>
      <c r="J489" s="20"/>
      <c r="K489" s="20" t="str">
        <f t="shared" si="1"/>
        <v/>
      </c>
    </row>
    <row r="490">
      <c r="A490" s="43"/>
      <c r="C490" s="17"/>
      <c r="D490" s="17"/>
      <c r="E490" s="17" t="str">
        <f>IF(D490="","",IFERROR(VLOOKUP(D490,COA!A:B,2,FALSE),"-"))</f>
        <v/>
      </c>
      <c r="F490" s="17"/>
      <c r="G490" s="17" t="str">
        <f>IF(F490="","",IFERROR(VLOOKUP(F490,COA!A:B,2,FALSE),"-"))</f>
        <v/>
      </c>
      <c r="H490" s="20"/>
      <c r="I490" s="20"/>
      <c r="J490" s="20"/>
      <c r="K490" s="20" t="str">
        <f t="shared" si="1"/>
        <v/>
      </c>
    </row>
    <row r="491">
      <c r="A491" s="43"/>
      <c r="C491" s="17"/>
      <c r="D491" s="17"/>
      <c r="E491" s="17" t="str">
        <f>IF(D491="","",IFERROR(VLOOKUP(D491,COA!A:B,2,FALSE),"-"))</f>
        <v/>
      </c>
      <c r="F491" s="17"/>
      <c r="G491" s="17" t="str">
        <f>IF(F491="","",IFERROR(VLOOKUP(F491,COA!A:B,2,FALSE),"-"))</f>
        <v/>
      </c>
      <c r="H491" s="20"/>
      <c r="I491" s="20"/>
      <c r="J491" s="20"/>
      <c r="K491" s="20" t="str">
        <f t="shared" si="1"/>
        <v/>
      </c>
    </row>
    <row r="492">
      <c r="A492" s="43"/>
      <c r="C492" s="17"/>
      <c r="D492" s="17"/>
      <c r="E492" s="17" t="str">
        <f>IF(D492="","",IFERROR(VLOOKUP(D492,COA!A:B,2,FALSE),"-"))</f>
        <v/>
      </c>
      <c r="F492" s="17"/>
      <c r="G492" s="17" t="str">
        <f>IF(F492="","",IFERROR(VLOOKUP(F492,COA!A:B,2,FALSE),"-"))</f>
        <v/>
      </c>
      <c r="H492" s="20"/>
      <c r="I492" s="20"/>
      <c r="J492" s="20"/>
      <c r="K492" s="20" t="str">
        <f t="shared" si="1"/>
        <v/>
      </c>
    </row>
    <row r="493">
      <c r="A493" s="43"/>
      <c r="C493" s="17"/>
      <c r="D493" s="17"/>
      <c r="E493" s="17" t="str">
        <f>IF(D493="","",IFERROR(VLOOKUP(D493,COA!A:B,2,FALSE),"-"))</f>
        <v/>
      </c>
      <c r="F493" s="17"/>
      <c r="G493" s="17" t="str">
        <f>IF(F493="","",IFERROR(VLOOKUP(F493,COA!A:B,2,FALSE),"-"))</f>
        <v/>
      </c>
      <c r="H493" s="20"/>
      <c r="I493" s="20"/>
      <c r="J493" s="20"/>
      <c r="K493" s="20" t="str">
        <f t="shared" si="1"/>
        <v/>
      </c>
    </row>
    <row r="494">
      <c r="A494" s="43"/>
      <c r="C494" s="17"/>
      <c r="D494" s="17"/>
      <c r="E494" s="17" t="str">
        <f>IF(D494="","",IFERROR(VLOOKUP(D494,COA!A:B,2,FALSE),"-"))</f>
        <v/>
      </c>
      <c r="F494" s="17"/>
      <c r="G494" s="17" t="str">
        <f>IF(F494="","",IFERROR(VLOOKUP(F494,COA!A:B,2,FALSE),"-"))</f>
        <v/>
      </c>
      <c r="H494" s="20"/>
      <c r="I494" s="20"/>
      <c r="J494" s="20"/>
      <c r="K494" s="20" t="str">
        <f t="shared" si="1"/>
        <v/>
      </c>
    </row>
    <row r="495">
      <c r="A495" s="43"/>
      <c r="C495" s="17"/>
      <c r="D495" s="17"/>
      <c r="E495" s="17" t="str">
        <f>IF(D495="","",IFERROR(VLOOKUP(D495,COA!A:B,2,FALSE),"-"))</f>
        <v/>
      </c>
      <c r="F495" s="17"/>
      <c r="G495" s="17" t="str">
        <f>IF(F495="","",IFERROR(VLOOKUP(F495,COA!A:B,2,FALSE),"-"))</f>
        <v/>
      </c>
      <c r="H495" s="20"/>
      <c r="I495" s="20"/>
      <c r="J495" s="20"/>
      <c r="K495" s="20" t="str">
        <f t="shared" si="1"/>
        <v/>
      </c>
    </row>
    <row r="496">
      <c r="A496" s="43"/>
      <c r="C496" s="17"/>
      <c r="D496" s="17"/>
      <c r="E496" s="17" t="str">
        <f>IF(D496="","",IFERROR(VLOOKUP(D496,COA!A:B,2,FALSE),"-"))</f>
        <v/>
      </c>
      <c r="F496" s="17"/>
      <c r="G496" s="17" t="str">
        <f>IF(F496="","",IFERROR(VLOOKUP(F496,COA!A:B,2,FALSE),"-"))</f>
        <v/>
      </c>
      <c r="H496" s="20"/>
      <c r="I496" s="20"/>
      <c r="J496" s="20"/>
      <c r="K496" s="20" t="str">
        <f t="shared" si="1"/>
        <v/>
      </c>
    </row>
    <row r="497">
      <c r="A497" s="43"/>
      <c r="C497" s="17"/>
      <c r="D497" s="17"/>
      <c r="E497" s="17" t="str">
        <f>IF(D497="","",IFERROR(VLOOKUP(D497,COA!A:B,2,FALSE),"-"))</f>
        <v/>
      </c>
      <c r="F497" s="17"/>
      <c r="G497" s="17" t="str">
        <f>IF(F497="","",IFERROR(VLOOKUP(F497,COA!A:B,2,FALSE),"-"))</f>
        <v/>
      </c>
      <c r="H497" s="20"/>
      <c r="I497" s="20"/>
      <c r="J497" s="20"/>
      <c r="K497" s="20" t="str">
        <f t="shared" si="1"/>
        <v/>
      </c>
    </row>
    <row r="498">
      <c r="A498" s="43"/>
      <c r="C498" s="17"/>
      <c r="D498" s="17"/>
      <c r="E498" s="17" t="str">
        <f>IF(D498="","",IFERROR(VLOOKUP(D498,COA!A:B,2,FALSE),"-"))</f>
        <v/>
      </c>
      <c r="F498" s="17"/>
      <c r="G498" s="17" t="str">
        <f>IF(F498="","",IFERROR(VLOOKUP(F498,COA!A:B,2,FALSE),"-"))</f>
        <v/>
      </c>
      <c r="H498" s="20"/>
      <c r="I498" s="20"/>
      <c r="J498" s="20"/>
      <c r="K498" s="20" t="str">
        <f t="shared" si="1"/>
        <v/>
      </c>
    </row>
    <row r="499">
      <c r="A499" s="43"/>
      <c r="C499" s="17"/>
      <c r="D499" s="17"/>
      <c r="E499" s="17" t="str">
        <f>IF(D499="","",IFERROR(VLOOKUP(D499,COA!A:B,2,FALSE),"-"))</f>
        <v/>
      </c>
      <c r="F499" s="17"/>
      <c r="G499" s="17" t="str">
        <f>IF(F499="","",IFERROR(VLOOKUP(F499,COA!A:B,2,FALSE),"-"))</f>
        <v/>
      </c>
      <c r="H499" s="20"/>
      <c r="I499" s="20"/>
      <c r="J499" s="20"/>
      <c r="K499" s="20" t="str">
        <f t="shared" si="1"/>
        <v/>
      </c>
    </row>
    <row r="500">
      <c r="A500" s="43"/>
      <c r="C500" s="17"/>
      <c r="D500" s="17"/>
      <c r="E500" s="17" t="str">
        <f>IF(D500="","",IFERROR(VLOOKUP(D500,COA!A:B,2,FALSE),"-"))</f>
        <v/>
      </c>
      <c r="F500" s="17"/>
      <c r="G500" s="17" t="str">
        <f>IF(F500="","",IFERROR(VLOOKUP(F500,COA!A:B,2,FALSE),"-"))</f>
        <v/>
      </c>
      <c r="H500" s="20"/>
      <c r="I500" s="20"/>
      <c r="J500" s="20"/>
      <c r="K500" s="20" t="str">
        <f t="shared" si="1"/>
        <v/>
      </c>
    </row>
    <row r="502">
      <c r="A502" s="29" t="s">
        <v>312</v>
      </c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</row>
    <row r="503">
      <c r="A503" s="35" t="s">
        <v>35</v>
      </c>
      <c r="B503" s="50"/>
      <c r="C503" s="50"/>
      <c r="D503" s="50"/>
      <c r="E503" s="50"/>
      <c r="F503" s="50"/>
      <c r="G503" s="50"/>
      <c r="H503" s="51">
        <f>SUMIF(C4:C500,"POS Toko",H4:H500)</f>
        <v>7000000</v>
      </c>
      <c r="I503" s="51">
        <f>SUMIF(C4:C500,"POS Toko",I4:I500)</f>
        <v>0</v>
      </c>
      <c r="J503" s="51">
        <f>SUMIF(C4:C500,"POS Toko",J4:J500)</f>
        <v>10000</v>
      </c>
      <c r="K503" s="51">
        <f>SUMIF(C4:C500,"POS Toko",K4:K500)</f>
        <v>6990000</v>
      </c>
      <c r="L503" s="50"/>
    </row>
    <row r="504">
      <c r="A504" s="35" t="s">
        <v>50</v>
      </c>
      <c r="B504" s="50"/>
      <c r="C504" s="50"/>
      <c r="D504" s="50"/>
      <c r="E504" s="50"/>
      <c r="F504" s="50"/>
      <c r="G504" s="50"/>
      <c r="H504" s="51">
        <f>SUMIF(C4:C500,"Web Raabiha",H4:H500)</f>
        <v>3000000</v>
      </c>
      <c r="I504" s="51">
        <f>SUMIF(C4:C500,"Web Raabiha",I4:I500)</f>
        <v>0</v>
      </c>
      <c r="J504" s="51">
        <f>SUMIF(C4:C500,"Web Raabiha",J4:J500)</f>
        <v>20000</v>
      </c>
      <c r="K504" s="51">
        <f>SUMIF(C4:C500,"Web Raabiha",K4:K500)</f>
        <v>2980000</v>
      </c>
      <c r="L504" s="50"/>
    </row>
    <row r="505">
      <c r="A505" s="35" t="s">
        <v>55</v>
      </c>
      <c r="B505" s="50"/>
      <c r="C505" s="50"/>
      <c r="D505" s="50"/>
      <c r="E505" s="50"/>
      <c r="F505" s="50"/>
      <c r="G505" s="50"/>
      <c r="H505" s="51">
        <f>SUMIF(C4:C500,"Shopee",H4:H500)</f>
        <v>10000000</v>
      </c>
      <c r="I505" s="51">
        <f>SUMIF(C4:C500,"Shopee",I4:I500)</f>
        <v>0</v>
      </c>
      <c r="J505" s="51">
        <f>SUMIF(C4:C500,"Shopee",J4:J500)</f>
        <v>1500000</v>
      </c>
      <c r="K505" s="51">
        <f>SUMIF(C4:C500,"Shopee",K4:K500)</f>
        <v>8500000</v>
      </c>
      <c r="L505" s="50"/>
    </row>
    <row r="506">
      <c r="A506" s="35" t="s">
        <v>79</v>
      </c>
      <c r="B506" s="50"/>
      <c r="C506" s="50"/>
      <c r="D506" s="50"/>
      <c r="E506" s="50"/>
      <c r="F506" s="50"/>
      <c r="G506" s="50"/>
      <c r="H506" s="51">
        <f>SUMIF(C4:C500,"Lazada",H4:H500)</f>
        <v>2000000</v>
      </c>
      <c r="I506" s="51">
        <f>SUMIF(C4:C500,"Lazada",I4:I500)</f>
        <v>0</v>
      </c>
      <c r="J506" s="51">
        <f>SUMIF(C4:C500,"Lazada",J4:J500)</f>
        <v>200000</v>
      </c>
      <c r="K506" s="51">
        <f>SUMIF(C4:C500,"Lazada",K4:K500)</f>
        <v>1800000</v>
      </c>
      <c r="L506" s="50"/>
    </row>
    <row r="507">
      <c r="A507" s="35" t="s">
        <v>72</v>
      </c>
      <c r="B507" s="50"/>
      <c r="C507" s="50"/>
      <c r="D507" s="50"/>
      <c r="E507" s="50"/>
      <c r="F507" s="50"/>
      <c r="G507" s="50"/>
      <c r="H507" s="51">
        <f>SUMIF(C4:C500,"Tokopedia",H4:H500)</f>
        <v>4000000</v>
      </c>
      <c r="I507" s="51">
        <f>SUMIF(C4:C500,"Tokopedia",I4:I500)</f>
        <v>0</v>
      </c>
      <c r="J507" s="51">
        <f>SUMIF(C4:C500,"Tokopedia",J4:J500)</f>
        <v>400000</v>
      </c>
      <c r="K507" s="51">
        <f>SUMIF(C4:C500,"Tokopedia",K4:K500)</f>
        <v>3600000</v>
      </c>
      <c r="L507" s="50"/>
    </row>
    <row r="508">
      <c r="A508" s="35" t="s">
        <v>60</v>
      </c>
      <c r="B508" s="50"/>
      <c r="C508" s="50"/>
      <c r="D508" s="50"/>
      <c r="E508" s="50"/>
      <c r="F508" s="50"/>
      <c r="G508" s="50"/>
      <c r="H508" s="51">
        <f>SUMIF(C4:C500,"TikTok Shop",H4:H500)</f>
        <v>8000000</v>
      </c>
      <c r="I508" s="51">
        <f>SUMIF(C4:C500,"TikTok Shop",I4:I500)</f>
        <v>0</v>
      </c>
      <c r="J508" s="51">
        <f>SUMIF(C4:C500,"TikTok Shop",J4:J500)</f>
        <v>1200000</v>
      </c>
      <c r="K508" s="51">
        <f>SUMIF(C4:C500,"TikTok Shop",K4:K500)</f>
        <v>6800000</v>
      </c>
      <c r="L508" s="50"/>
    </row>
  </sheetData>
  <mergeCells count="2">
    <mergeCell ref="A1:L1"/>
    <mergeCell ref="A2:L2"/>
  </mergeCells>
  <dataValidations>
    <dataValidation type="list" allowBlank="1" sqref="C4:C500">
      <formula1>"POS Toko,Web Raabiha,Shopee,Lazada,Tokopedia,TikTok Shop"</formula1>
    </dataValidation>
    <dataValidation type="list" allowBlank="1" sqref="D4:D500 F4:F500">
      <formula1>COA!$A$4:$A$60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38"/>
    <col customWidth="1" min="2" max="3" width="17.63"/>
    <col customWidth="1" min="4" max="4" width="19.0"/>
    <col customWidth="1" min="5" max="5" width="21.75"/>
    <col customWidth="1" min="6" max="11" width="17.63"/>
    <col customWidth="1" min="12" max="12" width="23.0"/>
    <col customWidth="1" min="13" max="13" width="17.63"/>
    <col customWidth="1" min="14" max="14" width="26.13"/>
  </cols>
  <sheetData>
    <row r="1" ht="30.0" customHeight="1">
      <c r="A1" s="36" t="s">
        <v>87</v>
      </c>
    </row>
    <row r="2" ht="30.0" customHeight="1">
      <c r="A2" s="3" t="s">
        <v>88</v>
      </c>
    </row>
    <row r="3" ht="24.0" customHeight="1">
      <c r="A3" s="37" t="s">
        <v>7</v>
      </c>
      <c r="B3" s="37" t="s">
        <v>89</v>
      </c>
      <c r="C3" s="37" t="s">
        <v>90</v>
      </c>
      <c r="D3" s="37" t="s">
        <v>91</v>
      </c>
      <c r="E3" s="37" t="s">
        <v>92</v>
      </c>
      <c r="F3" s="37" t="s">
        <v>93</v>
      </c>
      <c r="G3" s="37" t="s">
        <v>94</v>
      </c>
      <c r="H3" s="37" t="s">
        <v>95</v>
      </c>
      <c r="I3" s="37" t="s">
        <v>96</v>
      </c>
      <c r="J3" s="37" t="s">
        <v>97</v>
      </c>
      <c r="K3" s="37" t="s">
        <v>98</v>
      </c>
      <c r="L3" s="37" t="s">
        <v>99</v>
      </c>
      <c r="M3" s="37" t="s">
        <v>100</v>
      </c>
      <c r="N3" s="37" t="s">
        <v>101</v>
      </c>
    </row>
    <row r="4">
      <c r="A4" s="7">
        <v>46235.0</v>
      </c>
      <c r="B4" s="9" t="s">
        <v>102</v>
      </c>
      <c r="C4" s="9" t="s">
        <v>103</v>
      </c>
      <c r="D4" s="9" t="s">
        <v>104</v>
      </c>
      <c r="E4" s="9" t="s">
        <v>105</v>
      </c>
      <c r="F4" s="9">
        <v>100.0</v>
      </c>
      <c r="G4" s="9" t="s">
        <v>106</v>
      </c>
      <c r="H4" s="8">
        <v>100000.0</v>
      </c>
      <c r="I4" s="20">
        <f t="shared" ref="I4:I500" si="1">IF(F4="","",F4*H4)</f>
        <v>10000000</v>
      </c>
      <c r="J4" s="9" t="s">
        <v>44</v>
      </c>
      <c r="K4" s="9" t="s">
        <v>107</v>
      </c>
      <c r="L4" s="17" t="str">
        <f>IF(K4="","",IFERROR(VLOOKUP(K4,COA!A:B,2,FALSE),"-"))</f>
        <v>Biaya Bahan Baku Konveksi</v>
      </c>
      <c r="M4" s="38" t="s">
        <v>46</v>
      </c>
      <c r="N4" s="17" t="str">
        <f>IF(M4="","",IFERROR(VLOOKUP(M4,COA!A:B,2,FALSE),"-"))</f>
        <v>Kas Bank BCA CV Sinar Mandani</v>
      </c>
    </row>
    <row r="5">
      <c r="A5" s="7">
        <v>46237.0</v>
      </c>
      <c r="B5" s="9" t="s">
        <v>110</v>
      </c>
      <c r="C5" s="9" t="s">
        <v>111</v>
      </c>
      <c r="D5" s="9" t="s">
        <v>112</v>
      </c>
      <c r="E5" s="9" t="s">
        <v>113</v>
      </c>
      <c r="F5" s="9">
        <v>500.0</v>
      </c>
      <c r="G5" s="9" t="s">
        <v>114</v>
      </c>
      <c r="H5" s="8">
        <v>10000.0</v>
      </c>
      <c r="I5" s="20">
        <f t="shared" si="1"/>
        <v>5000000</v>
      </c>
      <c r="J5" s="9" t="s">
        <v>44</v>
      </c>
      <c r="K5" s="9" t="s">
        <v>115</v>
      </c>
      <c r="L5" s="17" t="str">
        <f>IF(K5="","",IFERROR(VLOOKUP(K5,COA!A:B,2,FALSE),"-"))</f>
        <v>Biaya Ongkos Jahit &amp; Potong</v>
      </c>
      <c r="M5" s="38" t="s">
        <v>46</v>
      </c>
      <c r="N5" s="17" t="str">
        <f>IF(M5="","",IFERROR(VLOOKUP(M5,COA!A:B,2,FALSE),"-"))</f>
        <v>Kas Bank BCA CV Sinar Mandani</v>
      </c>
    </row>
    <row r="6">
      <c r="A6" s="7">
        <v>46239.0</v>
      </c>
      <c r="B6" s="9" t="s">
        <v>118</v>
      </c>
      <c r="C6" s="9" t="s">
        <v>119</v>
      </c>
      <c r="D6" s="9" t="s">
        <v>121</v>
      </c>
      <c r="E6" s="9" t="s">
        <v>122</v>
      </c>
      <c r="F6" s="9">
        <v>1000.0</v>
      </c>
      <c r="G6" s="9" t="s">
        <v>114</v>
      </c>
      <c r="H6" s="8">
        <v>1000.0</v>
      </c>
      <c r="I6" s="20">
        <f t="shared" si="1"/>
        <v>1000000</v>
      </c>
      <c r="J6" s="9" t="s">
        <v>44</v>
      </c>
      <c r="K6" s="9" t="s">
        <v>127</v>
      </c>
      <c r="L6" s="17" t="str">
        <f>IF(K6="","",IFERROR(VLOOKUP(K6,COA!A:B,2,FALSE),"-"))</f>
        <v>Biaya Aksesoris &amp; Packing Produksi</v>
      </c>
      <c r="M6" s="38" t="s">
        <v>46</v>
      </c>
      <c r="N6" s="17" t="str">
        <f>IF(M6="","",IFERROR(VLOOKUP(M6,COA!A:B,2,FALSE),"-"))</f>
        <v>Kas Bank BCA CV Sinar Mandani</v>
      </c>
    </row>
    <row r="7">
      <c r="A7" s="7">
        <v>46242.0</v>
      </c>
      <c r="B7" s="9" t="s">
        <v>130</v>
      </c>
      <c r="C7" s="9" t="s">
        <v>131</v>
      </c>
      <c r="D7" s="9" t="s">
        <v>132</v>
      </c>
      <c r="E7" s="9" t="s">
        <v>133</v>
      </c>
      <c r="F7" s="9">
        <v>1.0</v>
      </c>
      <c r="G7" s="9" t="s">
        <v>134</v>
      </c>
      <c r="H7" s="8">
        <v>1000000.0</v>
      </c>
      <c r="I7" s="20">
        <f t="shared" si="1"/>
        <v>1000000</v>
      </c>
      <c r="J7" s="9" t="s">
        <v>44</v>
      </c>
      <c r="K7" s="9" t="s">
        <v>135</v>
      </c>
      <c r="L7" s="17" t="str">
        <f>IF(K7="","",IFERROR(VLOOKUP(K7,COA!A:B,2,FALSE),"-"))</f>
        <v>Peralatan &amp; Mesin Jahit</v>
      </c>
      <c r="M7" s="38" t="s">
        <v>46</v>
      </c>
      <c r="N7" s="17" t="str">
        <f>IF(M7="","",IFERROR(VLOOKUP(M7,COA!A:B,2,FALSE),"-"))</f>
        <v>Kas Bank BCA CV Sinar Mandani</v>
      </c>
    </row>
    <row r="8">
      <c r="A8" s="7"/>
      <c r="C8" s="17"/>
      <c r="G8" s="17"/>
      <c r="H8" s="8"/>
      <c r="I8" s="20" t="str">
        <f t="shared" si="1"/>
        <v/>
      </c>
      <c r="J8" s="17"/>
      <c r="K8" s="17"/>
      <c r="L8" s="17" t="str">
        <f>IF(K8="","",IFERROR(VLOOKUP(K8,COA!A:B,2,FALSE),"-"))</f>
        <v/>
      </c>
      <c r="M8" s="17"/>
      <c r="N8" s="17" t="str">
        <f>IF(M8="","",IFERROR(VLOOKUP(M8,COA!A:B,2,FALSE),"-"))</f>
        <v/>
      </c>
    </row>
    <row r="9">
      <c r="A9" s="7"/>
      <c r="C9" s="17"/>
      <c r="G9" s="17"/>
      <c r="H9" s="8"/>
      <c r="I9" s="20" t="str">
        <f t="shared" si="1"/>
        <v/>
      </c>
      <c r="J9" s="17"/>
      <c r="K9" s="17"/>
      <c r="L9" s="17" t="str">
        <f>IF(K9="","",IFERROR(VLOOKUP(K9,COA!A:B,2,FALSE),"-"))</f>
        <v/>
      </c>
      <c r="M9" s="17"/>
      <c r="N9" s="17" t="str">
        <f>IF(M9="","",IFERROR(VLOOKUP(M9,COA!A:B,2,FALSE),"-"))</f>
        <v/>
      </c>
    </row>
    <row r="10">
      <c r="A10" s="7"/>
      <c r="C10" s="17"/>
      <c r="G10" s="17"/>
      <c r="H10" s="8"/>
      <c r="I10" s="20" t="str">
        <f t="shared" si="1"/>
        <v/>
      </c>
      <c r="J10" s="17"/>
      <c r="K10" s="17"/>
      <c r="L10" s="17" t="str">
        <f>IF(K10="","",IFERROR(VLOOKUP(K10,COA!A:B,2,FALSE),"-"))</f>
        <v/>
      </c>
      <c r="M10" s="17"/>
      <c r="N10" s="17" t="str">
        <f>IF(M10="","",IFERROR(VLOOKUP(M10,COA!A:B,2,FALSE),"-"))</f>
        <v/>
      </c>
    </row>
    <row r="11">
      <c r="A11" s="7"/>
      <c r="C11" s="17"/>
      <c r="G11" s="17"/>
      <c r="H11" s="19"/>
      <c r="I11" s="20" t="str">
        <f t="shared" si="1"/>
        <v/>
      </c>
      <c r="J11" s="17"/>
      <c r="K11" s="17"/>
      <c r="L11" s="17" t="str">
        <f>IF(K11="","",IFERROR(VLOOKUP(K11,COA!A:B,2,FALSE),"-"))</f>
        <v/>
      </c>
      <c r="M11" s="17"/>
      <c r="N11" s="17" t="str">
        <f>IF(M11="","",IFERROR(VLOOKUP(M11,COA!A:B,2,FALSE),"-"))</f>
        <v/>
      </c>
    </row>
    <row r="12">
      <c r="A12" s="7"/>
      <c r="C12" s="17"/>
      <c r="G12" s="17"/>
      <c r="H12" s="19"/>
      <c r="I12" s="20" t="str">
        <f t="shared" si="1"/>
        <v/>
      </c>
      <c r="J12" s="17"/>
      <c r="K12" s="17"/>
      <c r="L12" s="17" t="str">
        <f>IF(K12="","",IFERROR(VLOOKUP(K12,COA!A:B,2,FALSE),"-"))</f>
        <v/>
      </c>
      <c r="M12" s="17"/>
      <c r="N12" s="17" t="str">
        <f>IF(M12="","",IFERROR(VLOOKUP(M12,COA!A:B,2,FALSE),"-"))</f>
        <v/>
      </c>
    </row>
    <row r="13">
      <c r="A13" s="7"/>
      <c r="C13" s="17"/>
      <c r="G13" s="17"/>
      <c r="H13" s="19"/>
      <c r="I13" s="20" t="str">
        <f t="shared" si="1"/>
        <v/>
      </c>
      <c r="J13" s="17"/>
      <c r="K13" s="17"/>
      <c r="L13" s="17" t="str">
        <f>IF(K13="","",IFERROR(VLOOKUP(K13,COA!A:B,2,FALSE),"-"))</f>
        <v/>
      </c>
      <c r="M13" s="17"/>
      <c r="N13" s="17" t="str">
        <f>IF(M13="","",IFERROR(VLOOKUP(M13,COA!A:B,2,FALSE),"-"))</f>
        <v/>
      </c>
    </row>
    <row r="14">
      <c r="A14" s="43"/>
      <c r="C14" s="17"/>
      <c r="G14" s="17"/>
      <c r="H14" s="22"/>
      <c r="I14" s="20" t="str">
        <f t="shared" si="1"/>
        <v/>
      </c>
      <c r="J14" s="17"/>
      <c r="K14" s="17"/>
      <c r="L14" s="17" t="str">
        <f>IF(K14="","",IFERROR(VLOOKUP(K14,COA!A:B,2,FALSE),"-"))</f>
        <v/>
      </c>
      <c r="M14" s="17"/>
      <c r="N14" s="17" t="str">
        <f>IF(M14="","",IFERROR(VLOOKUP(M14,COA!A:B,2,FALSE),"-"))</f>
        <v/>
      </c>
    </row>
    <row r="15">
      <c r="A15" s="43"/>
      <c r="C15" s="17"/>
      <c r="G15" s="17"/>
      <c r="H15" s="22"/>
      <c r="I15" s="20" t="str">
        <f t="shared" si="1"/>
        <v/>
      </c>
      <c r="J15" s="17"/>
      <c r="K15" s="17"/>
      <c r="L15" s="17" t="str">
        <f>IF(K15="","",IFERROR(VLOOKUP(K15,COA!A:B,2,FALSE),"-"))</f>
        <v/>
      </c>
      <c r="M15" s="17"/>
      <c r="N15" s="17" t="str">
        <f>IF(M15="","",IFERROR(VLOOKUP(M15,COA!A:B,2,FALSE),"-"))</f>
        <v/>
      </c>
    </row>
    <row r="16">
      <c r="A16" s="43"/>
      <c r="C16" s="17"/>
      <c r="G16" s="17"/>
      <c r="H16" s="22"/>
      <c r="I16" s="20" t="str">
        <f t="shared" si="1"/>
        <v/>
      </c>
      <c r="J16" s="17"/>
      <c r="K16" s="17"/>
      <c r="L16" s="17" t="str">
        <f>IF(K16="","",IFERROR(VLOOKUP(K16,COA!A:B,2,FALSE),"-"))</f>
        <v/>
      </c>
      <c r="M16" s="17"/>
      <c r="N16" s="17" t="str">
        <f>IF(M16="","",IFERROR(VLOOKUP(M16,COA!A:B,2,FALSE),"-"))</f>
        <v/>
      </c>
    </row>
    <row r="17">
      <c r="A17" s="43"/>
      <c r="C17" s="17"/>
      <c r="G17" s="17"/>
      <c r="H17" s="22"/>
      <c r="I17" s="20" t="str">
        <f t="shared" si="1"/>
        <v/>
      </c>
      <c r="J17" s="17"/>
      <c r="K17" s="17"/>
      <c r="L17" s="17" t="str">
        <f>IF(K17="","",IFERROR(VLOOKUP(K17,COA!A:B,2,FALSE),"-"))</f>
        <v/>
      </c>
      <c r="M17" s="17"/>
      <c r="N17" s="17" t="str">
        <f>IF(M17="","",IFERROR(VLOOKUP(M17,COA!A:B,2,FALSE),"-"))</f>
        <v/>
      </c>
    </row>
    <row r="18">
      <c r="A18" s="43"/>
      <c r="C18" s="17"/>
      <c r="G18" s="17"/>
      <c r="H18" s="22"/>
      <c r="I18" s="20" t="str">
        <f t="shared" si="1"/>
        <v/>
      </c>
      <c r="J18" s="17"/>
      <c r="K18" s="17"/>
      <c r="L18" s="17" t="str">
        <f>IF(K18="","",IFERROR(VLOOKUP(K18,COA!A:B,2,FALSE),"-"))</f>
        <v/>
      </c>
      <c r="M18" s="17"/>
      <c r="N18" s="17" t="str">
        <f>IF(M18="","",IFERROR(VLOOKUP(M18,COA!A:B,2,FALSE),"-"))</f>
        <v/>
      </c>
    </row>
    <row r="19">
      <c r="A19" s="43"/>
      <c r="C19" s="17"/>
      <c r="G19" s="17"/>
      <c r="H19" s="22"/>
      <c r="I19" s="20" t="str">
        <f t="shared" si="1"/>
        <v/>
      </c>
      <c r="J19" s="17"/>
      <c r="K19" s="17"/>
      <c r="L19" s="17" t="str">
        <f>IF(K19="","",IFERROR(VLOOKUP(K19,COA!A:B,2,FALSE),"-"))</f>
        <v/>
      </c>
      <c r="M19" s="17"/>
      <c r="N19" s="17" t="str">
        <f>IF(M19="","",IFERROR(VLOOKUP(M19,COA!A:B,2,FALSE),"-"))</f>
        <v/>
      </c>
    </row>
    <row r="20">
      <c r="A20" s="43"/>
      <c r="C20" s="17"/>
      <c r="G20" s="17"/>
      <c r="H20" s="22"/>
      <c r="I20" s="20" t="str">
        <f t="shared" si="1"/>
        <v/>
      </c>
      <c r="J20" s="17"/>
      <c r="K20" s="17"/>
      <c r="L20" s="17" t="str">
        <f>IF(K20="","",IFERROR(VLOOKUP(K20,COA!A:B,2,FALSE),"-"))</f>
        <v/>
      </c>
      <c r="M20" s="17"/>
      <c r="N20" s="17" t="str">
        <f>IF(M20="","",IFERROR(VLOOKUP(M20,COA!A:B,2,FALSE),"-"))</f>
        <v/>
      </c>
    </row>
    <row r="21">
      <c r="A21" s="43"/>
      <c r="C21" s="17"/>
      <c r="G21" s="17"/>
      <c r="H21" s="22"/>
      <c r="I21" s="20" t="str">
        <f t="shared" si="1"/>
        <v/>
      </c>
      <c r="J21" s="17"/>
      <c r="K21" s="17"/>
      <c r="L21" s="17" t="str">
        <f>IF(K21="","",IFERROR(VLOOKUP(K21,COA!A:B,2,FALSE),"-"))</f>
        <v/>
      </c>
      <c r="M21" s="17"/>
      <c r="N21" s="17" t="str">
        <f>IF(M21="","",IFERROR(VLOOKUP(M21,COA!A:B,2,FALSE),"-"))</f>
        <v/>
      </c>
    </row>
    <row r="22">
      <c r="A22" s="43"/>
      <c r="C22" s="17"/>
      <c r="G22" s="17"/>
      <c r="H22" s="22"/>
      <c r="I22" s="20" t="str">
        <f t="shared" si="1"/>
        <v/>
      </c>
      <c r="J22" s="17"/>
      <c r="K22" s="17"/>
      <c r="L22" s="17" t="str">
        <f>IF(K22="","",IFERROR(VLOOKUP(K22,COA!A:B,2,FALSE),"-"))</f>
        <v/>
      </c>
      <c r="M22" s="17"/>
      <c r="N22" s="17" t="str">
        <f>IF(M22="","",IFERROR(VLOOKUP(M22,COA!A:B,2,FALSE),"-"))</f>
        <v/>
      </c>
    </row>
    <row r="23">
      <c r="A23" s="43"/>
      <c r="C23" s="17"/>
      <c r="G23" s="17"/>
      <c r="H23" s="22"/>
      <c r="I23" s="20" t="str">
        <f t="shared" si="1"/>
        <v/>
      </c>
      <c r="J23" s="17"/>
      <c r="K23" s="17"/>
      <c r="L23" s="17" t="str">
        <f>IF(K23="","",IFERROR(VLOOKUP(K23,COA!A:B,2,FALSE),"-"))</f>
        <v/>
      </c>
      <c r="M23" s="17"/>
      <c r="N23" s="17" t="str">
        <f>IF(M23="","",IFERROR(VLOOKUP(M23,COA!A:B,2,FALSE),"-"))</f>
        <v/>
      </c>
    </row>
    <row r="24">
      <c r="A24" s="43"/>
      <c r="C24" s="17"/>
      <c r="G24" s="17"/>
      <c r="H24" s="22"/>
      <c r="I24" s="20" t="str">
        <f t="shared" si="1"/>
        <v/>
      </c>
      <c r="J24" s="17"/>
      <c r="K24" s="17"/>
      <c r="L24" s="17" t="str">
        <f>IF(K24="","",IFERROR(VLOOKUP(K24,COA!A:B,2,FALSE),"-"))</f>
        <v/>
      </c>
      <c r="M24" s="17"/>
      <c r="N24" s="17" t="str">
        <f>IF(M24="","",IFERROR(VLOOKUP(M24,COA!A:B,2,FALSE),"-"))</f>
        <v/>
      </c>
    </row>
    <row r="25">
      <c r="A25" s="43"/>
      <c r="C25" s="17"/>
      <c r="G25" s="17"/>
      <c r="H25" s="22"/>
      <c r="I25" s="20" t="str">
        <f t="shared" si="1"/>
        <v/>
      </c>
      <c r="J25" s="17"/>
      <c r="K25" s="17"/>
      <c r="L25" s="17" t="str">
        <f>IF(K25="","",IFERROR(VLOOKUP(K25,COA!A:B,2,FALSE),"-"))</f>
        <v/>
      </c>
      <c r="M25" s="17"/>
      <c r="N25" s="17" t="str">
        <f>IF(M25="","",IFERROR(VLOOKUP(M25,COA!A:B,2,FALSE),"-"))</f>
        <v/>
      </c>
    </row>
    <row r="26">
      <c r="A26" s="43"/>
      <c r="C26" s="17"/>
      <c r="G26" s="17"/>
      <c r="H26" s="22"/>
      <c r="I26" s="20" t="str">
        <f t="shared" si="1"/>
        <v/>
      </c>
      <c r="J26" s="17"/>
      <c r="K26" s="17"/>
      <c r="L26" s="17" t="str">
        <f>IF(K26="","",IFERROR(VLOOKUP(K26,COA!A:B,2,FALSE),"-"))</f>
        <v/>
      </c>
      <c r="M26" s="17"/>
      <c r="N26" s="17" t="str">
        <f>IF(M26="","",IFERROR(VLOOKUP(M26,COA!A:B,2,FALSE),"-"))</f>
        <v/>
      </c>
    </row>
    <row r="27">
      <c r="A27" s="43"/>
      <c r="C27" s="17"/>
      <c r="G27" s="17"/>
      <c r="H27" s="22"/>
      <c r="I27" s="20" t="str">
        <f t="shared" si="1"/>
        <v/>
      </c>
      <c r="J27" s="17"/>
      <c r="K27" s="17"/>
      <c r="L27" s="17" t="str">
        <f>IF(K27="","",IFERROR(VLOOKUP(K27,COA!A:B,2,FALSE),"-"))</f>
        <v/>
      </c>
      <c r="M27" s="17"/>
      <c r="N27" s="17" t="str">
        <f>IF(M27="","",IFERROR(VLOOKUP(M27,COA!A:B,2,FALSE),"-"))</f>
        <v/>
      </c>
    </row>
    <row r="28">
      <c r="A28" s="43"/>
      <c r="C28" s="17"/>
      <c r="G28" s="17"/>
      <c r="H28" s="22"/>
      <c r="I28" s="20" t="str">
        <f t="shared" si="1"/>
        <v/>
      </c>
      <c r="J28" s="17"/>
      <c r="K28" s="17"/>
      <c r="L28" s="17" t="str">
        <f>IF(K28="","",IFERROR(VLOOKUP(K28,COA!A:B,2,FALSE),"-"))</f>
        <v/>
      </c>
      <c r="M28" s="17"/>
      <c r="N28" s="17" t="str">
        <f>IF(M28="","",IFERROR(VLOOKUP(M28,COA!A:B,2,FALSE),"-"))</f>
        <v/>
      </c>
    </row>
    <row r="29">
      <c r="A29" s="43"/>
      <c r="C29" s="17"/>
      <c r="G29" s="17"/>
      <c r="H29" s="22"/>
      <c r="I29" s="20" t="str">
        <f t="shared" si="1"/>
        <v/>
      </c>
      <c r="J29" s="17"/>
      <c r="K29" s="17"/>
      <c r="L29" s="17" t="str">
        <f>IF(K29="","",IFERROR(VLOOKUP(K29,COA!A:B,2,FALSE),"-"))</f>
        <v/>
      </c>
      <c r="M29" s="17"/>
      <c r="N29" s="17" t="str">
        <f>IF(M29="","",IFERROR(VLOOKUP(M29,COA!A:B,2,FALSE),"-"))</f>
        <v/>
      </c>
    </row>
    <row r="30">
      <c r="A30" s="43"/>
      <c r="C30" s="17"/>
      <c r="G30" s="17"/>
      <c r="H30" s="22"/>
      <c r="I30" s="20" t="str">
        <f t="shared" si="1"/>
        <v/>
      </c>
      <c r="J30" s="17"/>
      <c r="K30" s="17"/>
      <c r="L30" s="17" t="str">
        <f>IF(K30="","",IFERROR(VLOOKUP(K30,COA!A:B,2,FALSE),"-"))</f>
        <v/>
      </c>
      <c r="M30" s="17"/>
      <c r="N30" s="17" t="str">
        <f>IF(M30="","",IFERROR(VLOOKUP(M30,COA!A:B,2,FALSE),"-"))</f>
        <v/>
      </c>
    </row>
    <row r="31">
      <c r="A31" s="43"/>
      <c r="C31" s="17"/>
      <c r="G31" s="17"/>
      <c r="H31" s="22"/>
      <c r="I31" s="20" t="str">
        <f t="shared" si="1"/>
        <v/>
      </c>
      <c r="J31" s="17"/>
      <c r="K31" s="17"/>
      <c r="L31" s="17" t="str">
        <f>IF(K31="","",IFERROR(VLOOKUP(K31,COA!A:B,2,FALSE),"-"))</f>
        <v/>
      </c>
      <c r="M31" s="17"/>
      <c r="N31" s="17" t="str">
        <f>IF(M31="","",IFERROR(VLOOKUP(M31,COA!A:B,2,FALSE),"-"))</f>
        <v/>
      </c>
    </row>
    <row r="32">
      <c r="A32" s="43"/>
      <c r="C32" s="17"/>
      <c r="G32" s="17"/>
      <c r="H32" s="22"/>
      <c r="I32" s="20" t="str">
        <f t="shared" si="1"/>
        <v/>
      </c>
      <c r="J32" s="17"/>
      <c r="K32" s="17"/>
      <c r="L32" s="17" t="str">
        <f>IF(K32="","",IFERROR(VLOOKUP(K32,COA!A:B,2,FALSE),"-"))</f>
        <v/>
      </c>
      <c r="M32" s="17"/>
      <c r="N32" s="17" t="str">
        <f>IF(M32="","",IFERROR(VLOOKUP(M32,COA!A:B,2,FALSE),"-"))</f>
        <v/>
      </c>
    </row>
    <row r="33">
      <c r="A33" s="43"/>
      <c r="C33" s="17"/>
      <c r="G33" s="17"/>
      <c r="H33" s="22"/>
      <c r="I33" s="20" t="str">
        <f t="shared" si="1"/>
        <v/>
      </c>
      <c r="J33" s="17"/>
      <c r="K33" s="17"/>
      <c r="L33" s="17" t="str">
        <f>IF(K33="","",IFERROR(VLOOKUP(K33,COA!A:B,2,FALSE),"-"))</f>
        <v/>
      </c>
      <c r="M33" s="17"/>
      <c r="N33" s="17" t="str">
        <f>IF(M33="","",IFERROR(VLOOKUP(M33,COA!A:B,2,FALSE),"-"))</f>
        <v/>
      </c>
    </row>
    <row r="34">
      <c r="A34" s="43"/>
      <c r="C34" s="17"/>
      <c r="G34" s="17"/>
      <c r="H34" s="22"/>
      <c r="I34" s="20" t="str">
        <f t="shared" si="1"/>
        <v/>
      </c>
      <c r="J34" s="17"/>
      <c r="K34" s="17"/>
      <c r="L34" s="17" t="str">
        <f>IF(K34="","",IFERROR(VLOOKUP(K34,COA!A:B,2,FALSE),"-"))</f>
        <v/>
      </c>
      <c r="M34" s="17"/>
      <c r="N34" s="17" t="str">
        <f>IF(M34="","",IFERROR(VLOOKUP(M34,COA!A:B,2,FALSE),"-"))</f>
        <v/>
      </c>
    </row>
    <row r="35">
      <c r="A35" s="43"/>
      <c r="C35" s="17"/>
      <c r="G35" s="17"/>
      <c r="H35" s="22"/>
      <c r="I35" s="20" t="str">
        <f t="shared" si="1"/>
        <v/>
      </c>
      <c r="J35" s="17"/>
      <c r="K35" s="17"/>
      <c r="L35" s="17" t="str">
        <f>IF(K35="","",IFERROR(VLOOKUP(K35,COA!A:B,2,FALSE),"-"))</f>
        <v/>
      </c>
      <c r="M35" s="17"/>
      <c r="N35" s="17" t="str">
        <f>IF(M35="","",IFERROR(VLOOKUP(M35,COA!A:B,2,FALSE),"-"))</f>
        <v/>
      </c>
    </row>
    <row r="36">
      <c r="A36" s="43"/>
      <c r="C36" s="17"/>
      <c r="G36" s="17"/>
      <c r="H36" s="22"/>
      <c r="I36" s="20" t="str">
        <f t="shared" si="1"/>
        <v/>
      </c>
      <c r="J36" s="17"/>
      <c r="K36" s="17"/>
      <c r="L36" s="17" t="str">
        <f>IF(K36="","",IFERROR(VLOOKUP(K36,COA!A:B,2,FALSE),"-"))</f>
        <v/>
      </c>
      <c r="M36" s="17"/>
      <c r="N36" s="17" t="str">
        <f>IF(M36="","",IFERROR(VLOOKUP(M36,COA!A:B,2,FALSE),"-"))</f>
        <v/>
      </c>
    </row>
    <row r="37">
      <c r="A37" s="43"/>
      <c r="C37" s="17"/>
      <c r="G37" s="17"/>
      <c r="H37" s="22"/>
      <c r="I37" s="20" t="str">
        <f t="shared" si="1"/>
        <v/>
      </c>
      <c r="J37" s="17"/>
      <c r="K37" s="17"/>
      <c r="L37" s="17" t="str">
        <f>IF(K37="","",IFERROR(VLOOKUP(K37,COA!A:B,2,FALSE),"-"))</f>
        <v/>
      </c>
      <c r="M37" s="17"/>
      <c r="N37" s="17" t="str">
        <f>IF(M37="","",IFERROR(VLOOKUP(M37,COA!A:B,2,FALSE),"-"))</f>
        <v/>
      </c>
    </row>
    <row r="38">
      <c r="A38" s="43"/>
      <c r="C38" s="17"/>
      <c r="G38" s="17"/>
      <c r="H38" s="22"/>
      <c r="I38" s="20" t="str">
        <f t="shared" si="1"/>
        <v/>
      </c>
      <c r="J38" s="17"/>
      <c r="K38" s="17"/>
      <c r="L38" s="17" t="str">
        <f>IF(K38="","",IFERROR(VLOOKUP(K38,COA!A:B,2,FALSE),"-"))</f>
        <v/>
      </c>
      <c r="M38" s="17"/>
      <c r="N38" s="17" t="str">
        <f>IF(M38="","",IFERROR(VLOOKUP(M38,COA!A:B,2,FALSE),"-"))</f>
        <v/>
      </c>
    </row>
    <row r="39">
      <c r="A39" s="43"/>
      <c r="C39" s="17"/>
      <c r="G39" s="17"/>
      <c r="H39" s="22"/>
      <c r="I39" s="20" t="str">
        <f t="shared" si="1"/>
        <v/>
      </c>
      <c r="J39" s="17"/>
      <c r="K39" s="17"/>
      <c r="L39" s="17" t="str">
        <f>IF(K39="","",IFERROR(VLOOKUP(K39,COA!A:B,2,FALSE),"-"))</f>
        <v/>
      </c>
      <c r="M39" s="17"/>
      <c r="N39" s="17" t="str">
        <f>IF(M39="","",IFERROR(VLOOKUP(M39,COA!A:B,2,FALSE),"-"))</f>
        <v/>
      </c>
    </row>
    <row r="40">
      <c r="A40" s="43"/>
      <c r="C40" s="17"/>
      <c r="G40" s="17"/>
      <c r="H40" s="22"/>
      <c r="I40" s="20" t="str">
        <f t="shared" si="1"/>
        <v/>
      </c>
      <c r="J40" s="17"/>
      <c r="K40" s="17"/>
      <c r="L40" s="17" t="str">
        <f>IF(K40="","",IFERROR(VLOOKUP(K40,COA!A:B,2,FALSE),"-"))</f>
        <v/>
      </c>
      <c r="M40" s="17"/>
      <c r="N40" s="17" t="str">
        <f>IF(M40="","",IFERROR(VLOOKUP(M40,COA!A:B,2,FALSE),"-"))</f>
        <v/>
      </c>
    </row>
    <row r="41">
      <c r="A41" s="43"/>
      <c r="C41" s="17"/>
      <c r="G41" s="17"/>
      <c r="H41" s="22"/>
      <c r="I41" s="20" t="str">
        <f t="shared" si="1"/>
        <v/>
      </c>
      <c r="J41" s="17"/>
      <c r="K41" s="17"/>
      <c r="L41" s="17" t="str">
        <f>IF(K41="","",IFERROR(VLOOKUP(K41,COA!A:B,2,FALSE),"-"))</f>
        <v/>
      </c>
      <c r="M41" s="17"/>
      <c r="N41" s="17" t="str">
        <f>IF(M41="","",IFERROR(VLOOKUP(M41,COA!A:B,2,FALSE),"-"))</f>
        <v/>
      </c>
    </row>
    <row r="42">
      <c r="A42" s="43"/>
      <c r="C42" s="17"/>
      <c r="G42" s="17"/>
      <c r="H42" s="22"/>
      <c r="I42" s="20" t="str">
        <f t="shared" si="1"/>
        <v/>
      </c>
      <c r="J42" s="17"/>
      <c r="K42" s="17"/>
      <c r="L42" s="17" t="str">
        <f>IF(K42="","",IFERROR(VLOOKUP(K42,COA!A:B,2,FALSE),"-"))</f>
        <v/>
      </c>
      <c r="M42" s="17"/>
      <c r="N42" s="17" t="str">
        <f>IF(M42="","",IFERROR(VLOOKUP(M42,COA!A:B,2,FALSE),"-"))</f>
        <v/>
      </c>
    </row>
    <row r="43">
      <c r="A43" s="43"/>
      <c r="C43" s="17"/>
      <c r="G43" s="17"/>
      <c r="H43" s="22"/>
      <c r="I43" s="20" t="str">
        <f t="shared" si="1"/>
        <v/>
      </c>
      <c r="J43" s="17"/>
      <c r="K43" s="17"/>
      <c r="L43" s="17" t="str">
        <f>IF(K43="","",IFERROR(VLOOKUP(K43,COA!A:B,2,FALSE),"-"))</f>
        <v/>
      </c>
      <c r="M43" s="17"/>
      <c r="N43" s="17" t="str">
        <f>IF(M43="","",IFERROR(VLOOKUP(M43,COA!A:B,2,FALSE),"-"))</f>
        <v/>
      </c>
    </row>
    <row r="44">
      <c r="A44" s="43"/>
      <c r="C44" s="17"/>
      <c r="G44" s="17"/>
      <c r="H44" s="22"/>
      <c r="I44" s="20" t="str">
        <f t="shared" si="1"/>
        <v/>
      </c>
      <c r="J44" s="17"/>
      <c r="K44" s="17"/>
      <c r="L44" s="17" t="str">
        <f>IF(K44="","",IFERROR(VLOOKUP(K44,COA!A:B,2,FALSE),"-"))</f>
        <v/>
      </c>
      <c r="M44" s="17"/>
      <c r="N44" s="17" t="str">
        <f>IF(M44="","",IFERROR(VLOOKUP(M44,COA!A:B,2,FALSE),"-"))</f>
        <v/>
      </c>
    </row>
    <row r="45">
      <c r="A45" s="43"/>
      <c r="C45" s="17"/>
      <c r="G45" s="17"/>
      <c r="H45" s="22"/>
      <c r="I45" s="20" t="str">
        <f t="shared" si="1"/>
        <v/>
      </c>
      <c r="J45" s="17"/>
      <c r="K45" s="17"/>
      <c r="L45" s="17" t="str">
        <f>IF(K45="","",IFERROR(VLOOKUP(K45,COA!A:B,2,FALSE),"-"))</f>
        <v/>
      </c>
      <c r="M45" s="17"/>
      <c r="N45" s="17" t="str">
        <f>IF(M45="","",IFERROR(VLOOKUP(M45,COA!A:B,2,FALSE),"-"))</f>
        <v/>
      </c>
    </row>
    <row r="46">
      <c r="A46" s="43"/>
      <c r="C46" s="17"/>
      <c r="G46" s="17"/>
      <c r="H46" s="22"/>
      <c r="I46" s="20" t="str">
        <f t="shared" si="1"/>
        <v/>
      </c>
      <c r="J46" s="17"/>
      <c r="K46" s="17"/>
      <c r="L46" s="17" t="str">
        <f>IF(K46="","",IFERROR(VLOOKUP(K46,COA!A:B,2,FALSE),"-"))</f>
        <v/>
      </c>
      <c r="M46" s="17"/>
      <c r="N46" s="17" t="str">
        <f>IF(M46="","",IFERROR(VLOOKUP(M46,COA!A:B,2,FALSE),"-"))</f>
        <v/>
      </c>
    </row>
    <row r="47">
      <c r="A47" s="43"/>
      <c r="C47" s="17"/>
      <c r="G47" s="17"/>
      <c r="H47" s="22"/>
      <c r="I47" s="20" t="str">
        <f t="shared" si="1"/>
        <v/>
      </c>
      <c r="J47" s="17"/>
      <c r="K47" s="17"/>
      <c r="L47" s="17" t="str">
        <f>IF(K47="","",IFERROR(VLOOKUP(K47,COA!A:B,2,FALSE),"-"))</f>
        <v/>
      </c>
      <c r="M47" s="17"/>
      <c r="N47" s="17" t="str">
        <f>IF(M47="","",IFERROR(VLOOKUP(M47,COA!A:B,2,FALSE),"-"))</f>
        <v/>
      </c>
    </row>
    <row r="48">
      <c r="A48" s="43"/>
      <c r="C48" s="17"/>
      <c r="G48" s="17"/>
      <c r="H48" s="22"/>
      <c r="I48" s="20" t="str">
        <f t="shared" si="1"/>
        <v/>
      </c>
      <c r="J48" s="17"/>
      <c r="K48" s="17"/>
      <c r="L48" s="17" t="str">
        <f>IF(K48="","",IFERROR(VLOOKUP(K48,COA!A:B,2,FALSE),"-"))</f>
        <v/>
      </c>
      <c r="M48" s="17"/>
      <c r="N48" s="17" t="str">
        <f>IF(M48="","",IFERROR(VLOOKUP(M48,COA!A:B,2,FALSE),"-"))</f>
        <v/>
      </c>
    </row>
    <row r="49">
      <c r="A49" s="43"/>
      <c r="C49" s="17"/>
      <c r="G49" s="17"/>
      <c r="H49" s="22"/>
      <c r="I49" s="20" t="str">
        <f t="shared" si="1"/>
        <v/>
      </c>
      <c r="J49" s="17"/>
      <c r="K49" s="17"/>
      <c r="L49" s="17" t="str">
        <f>IF(K49="","",IFERROR(VLOOKUP(K49,COA!A:B,2,FALSE),"-"))</f>
        <v/>
      </c>
      <c r="M49" s="17"/>
      <c r="N49" s="17" t="str">
        <f>IF(M49="","",IFERROR(VLOOKUP(M49,COA!A:B,2,FALSE),"-"))</f>
        <v/>
      </c>
    </row>
    <row r="50">
      <c r="A50" s="43"/>
      <c r="C50" s="17"/>
      <c r="G50" s="17"/>
      <c r="H50" s="22"/>
      <c r="I50" s="20" t="str">
        <f t="shared" si="1"/>
        <v/>
      </c>
      <c r="J50" s="17"/>
      <c r="K50" s="17"/>
      <c r="L50" s="17" t="str">
        <f>IF(K50="","",IFERROR(VLOOKUP(K50,COA!A:B,2,FALSE),"-"))</f>
        <v/>
      </c>
      <c r="M50" s="17"/>
      <c r="N50" s="17" t="str">
        <f>IF(M50="","",IFERROR(VLOOKUP(M50,COA!A:B,2,FALSE),"-"))</f>
        <v/>
      </c>
    </row>
    <row r="51">
      <c r="A51" s="43"/>
      <c r="C51" s="17"/>
      <c r="G51" s="17"/>
      <c r="H51" s="22"/>
      <c r="I51" s="20" t="str">
        <f t="shared" si="1"/>
        <v/>
      </c>
      <c r="J51" s="17"/>
      <c r="K51" s="17"/>
      <c r="L51" s="17" t="str">
        <f>IF(K51="","",IFERROR(VLOOKUP(K51,COA!A:B,2,FALSE),"-"))</f>
        <v/>
      </c>
      <c r="M51" s="17"/>
      <c r="N51" s="17" t="str">
        <f>IF(M51="","",IFERROR(VLOOKUP(M51,COA!A:B,2,FALSE),"-"))</f>
        <v/>
      </c>
    </row>
    <row r="52">
      <c r="A52" s="43"/>
      <c r="C52" s="17"/>
      <c r="G52" s="17"/>
      <c r="H52" s="22"/>
      <c r="I52" s="20" t="str">
        <f t="shared" si="1"/>
        <v/>
      </c>
      <c r="J52" s="17"/>
      <c r="K52" s="17"/>
      <c r="L52" s="17" t="str">
        <f>IF(K52="","",IFERROR(VLOOKUP(K52,COA!A:B,2,FALSE),"-"))</f>
        <v/>
      </c>
      <c r="M52" s="17"/>
      <c r="N52" s="17" t="str">
        <f>IF(M52="","",IFERROR(VLOOKUP(M52,COA!A:B,2,FALSE),"-"))</f>
        <v/>
      </c>
    </row>
    <row r="53">
      <c r="A53" s="43"/>
      <c r="C53" s="17"/>
      <c r="G53" s="17"/>
      <c r="H53" s="22"/>
      <c r="I53" s="20" t="str">
        <f t="shared" si="1"/>
        <v/>
      </c>
      <c r="J53" s="17"/>
      <c r="K53" s="17"/>
      <c r="L53" s="17" t="str">
        <f>IF(K53="","",IFERROR(VLOOKUP(K53,COA!A:B,2,FALSE),"-"))</f>
        <v/>
      </c>
      <c r="M53" s="17"/>
      <c r="N53" s="17" t="str">
        <f>IF(M53="","",IFERROR(VLOOKUP(M53,COA!A:B,2,FALSE),"-"))</f>
        <v/>
      </c>
    </row>
    <row r="54">
      <c r="A54" s="43"/>
      <c r="C54" s="17"/>
      <c r="G54" s="17"/>
      <c r="H54" s="22"/>
      <c r="I54" s="20" t="str">
        <f t="shared" si="1"/>
        <v/>
      </c>
      <c r="J54" s="17"/>
      <c r="K54" s="17"/>
      <c r="L54" s="17" t="str">
        <f>IF(K54="","",IFERROR(VLOOKUP(K54,COA!A:B,2,FALSE),"-"))</f>
        <v/>
      </c>
      <c r="M54" s="17"/>
      <c r="N54" s="17" t="str">
        <f>IF(M54="","",IFERROR(VLOOKUP(M54,COA!A:B,2,FALSE),"-"))</f>
        <v/>
      </c>
    </row>
    <row r="55">
      <c r="A55" s="43"/>
      <c r="C55" s="17"/>
      <c r="G55" s="17"/>
      <c r="H55" s="22"/>
      <c r="I55" s="20" t="str">
        <f t="shared" si="1"/>
        <v/>
      </c>
      <c r="J55" s="17"/>
      <c r="K55" s="17"/>
      <c r="L55" s="17" t="str">
        <f>IF(K55="","",IFERROR(VLOOKUP(K55,COA!A:B,2,FALSE),"-"))</f>
        <v/>
      </c>
      <c r="M55" s="17"/>
      <c r="N55" s="17" t="str">
        <f>IF(M55="","",IFERROR(VLOOKUP(M55,COA!A:B,2,FALSE),"-"))</f>
        <v/>
      </c>
    </row>
    <row r="56">
      <c r="A56" s="43"/>
      <c r="C56" s="17"/>
      <c r="G56" s="17"/>
      <c r="H56" s="22"/>
      <c r="I56" s="20" t="str">
        <f t="shared" si="1"/>
        <v/>
      </c>
      <c r="J56" s="17"/>
      <c r="K56" s="17"/>
      <c r="L56" s="17" t="str">
        <f>IF(K56="","",IFERROR(VLOOKUP(K56,COA!A:B,2,FALSE),"-"))</f>
        <v/>
      </c>
      <c r="M56" s="17"/>
      <c r="N56" s="17" t="str">
        <f>IF(M56="","",IFERROR(VLOOKUP(M56,COA!A:B,2,FALSE),"-"))</f>
        <v/>
      </c>
    </row>
    <row r="57">
      <c r="A57" s="43"/>
      <c r="C57" s="17"/>
      <c r="G57" s="17"/>
      <c r="H57" s="22"/>
      <c r="I57" s="20" t="str">
        <f t="shared" si="1"/>
        <v/>
      </c>
      <c r="J57" s="17"/>
      <c r="K57" s="17"/>
      <c r="L57" s="17" t="str">
        <f>IF(K57="","",IFERROR(VLOOKUP(K57,COA!A:B,2,FALSE),"-"))</f>
        <v/>
      </c>
      <c r="M57" s="17"/>
      <c r="N57" s="17" t="str">
        <f>IF(M57="","",IFERROR(VLOOKUP(M57,COA!A:B,2,FALSE),"-"))</f>
        <v/>
      </c>
    </row>
    <row r="58">
      <c r="A58" s="43"/>
      <c r="C58" s="17"/>
      <c r="G58" s="17"/>
      <c r="H58" s="22"/>
      <c r="I58" s="20" t="str">
        <f t="shared" si="1"/>
        <v/>
      </c>
      <c r="J58" s="17"/>
      <c r="K58" s="17"/>
      <c r="L58" s="17" t="str">
        <f>IF(K58="","",IFERROR(VLOOKUP(K58,COA!A:B,2,FALSE),"-"))</f>
        <v/>
      </c>
      <c r="M58" s="17"/>
      <c r="N58" s="17" t="str">
        <f>IF(M58="","",IFERROR(VLOOKUP(M58,COA!A:B,2,FALSE),"-"))</f>
        <v/>
      </c>
    </row>
    <row r="59">
      <c r="A59" s="43"/>
      <c r="C59" s="17"/>
      <c r="G59" s="17"/>
      <c r="H59" s="22"/>
      <c r="I59" s="20" t="str">
        <f t="shared" si="1"/>
        <v/>
      </c>
      <c r="J59" s="17"/>
      <c r="K59" s="17"/>
      <c r="L59" s="17" t="str">
        <f>IF(K59="","",IFERROR(VLOOKUP(K59,COA!A:B,2,FALSE),"-"))</f>
        <v/>
      </c>
      <c r="M59" s="17"/>
      <c r="N59" s="17" t="str">
        <f>IF(M59="","",IFERROR(VLOOKUP(M59,COA!A:B,2,FALSE),"-"))</f>
        <v/>
      </c>
    </row>
    <row r="60">
      <c r="A60" s="43"/>
      <c r="C60" s="17"/>
      <c r="G60" s="17"/>
      <c r="H60" s="22"/>
      <c r="I60" s="20" t="str">
        <f t="shared" si="1"/>
        <v/>
      </c>
      <c r="J60" s="17"/>
      <c r="K60" s="17"/>
      <c r="L60" s="17" t="str">
        <f>IF(K60="","",IFERROR(VLOOKUP(K60,COA!A:B,2,FALSE),"-"))</f>
        <v/>
      </c>
      <c r="M60" s="17"/>
      <c r="N60" s="17" t="str">
        <f>IF(M60="","",IFERROR(VLOOKUP(M60,COA!A:B,2,FALSE),"-"))</f>
        <v/>
      </c>
    </row>
    <row r="61">
      <c r="A61" s="43"/>
      <c r="C61" s="17"/>
      <c r="G61" s="17"/>
      <c r="H61" s="22"/>
      <c r="I61" s="20" t="str">
        <f t="shared" si="1"/>
        <v/>
      </c>
      <c r="J61" s="17"/>
      <c r="K61" s="17"/>
      <c r="L61" s="17" t="str">
        <f>IF(K61="","",IFERROR(VLOOKUP(K61,COA!A:B,2,FALSE),"-"))</f>
        <v/>
      </c>
      <c r="M61" s="17"/>
      <c r="N61" s="17" t="str">
        <f>IF(M61="","",IFERROR(VLOOKUP(M61,COA!A:B,2,FALSE),"-"))</f>
        <v/>
      </c>
    </row>
    <row r="62">
      <c r="A62" s="43"/>
      <c r="C62" s="17"/>
      <c r="G62" s="17"/>
      <c r="H62" s="22"/>
      <c r="I62" s="20" t="str">
        <f t="shared" si="1"/>
        <v/>
      </c>
      <c r="J62" s="17"/>
      <c r="K62" s="17"/>
      <c r="L62" s="17" t="str">
        <f>IF(K62="","",IFERROR(VLOOKUP(K62,COA!A:B,2,FALSE),"-"))</f>
        <v/>
      </c>
      <c r="M62" s="17"/>
      <c r="N62" s="17" t="str">
        <f>IF(M62="","",IFERROR(VLOOKUP(M62,COA!A:B,2,FALSE),"-"))</f>
        <v/>
      </c>
    </row>
    <row r="63">
      <c r="A63" s="43"/>
      <c r="C63" s="17"/>
      <c r="G63" s="17"/>
      <c r="H63" s="22"/>
      <c r="I63" s="20" t="str">
        <f t="shared" si="1"/>
        <v/>
      </c>
      <c r="J63" s="17"/>
      <c r="K63" s="17"/>
      <c r="L63" s="17" t="str">
        <f>IF(K63="","",IFERROR(VLOOKUP(K63,COA!A:B,2,FALSE),"-"))</f>
        <v/>
      </c>
      <c r="M63" s="17"/>
      <c r="N63" s="17" t="str">
        <f>IF(M63="","",IFERROR(VLOOKUP(M63,COA!A:B,2,FALSE),"-"))</f>
        <v/>
      </c>
    </row>
    <row r="64">
      <c r="A64" s="43"/>
      <c r="C64" s="17"/>
      <c r="G64" s="17"/>
      <c r="H64" s="22"/>
      <c r="I64" s="20" t="str">
        <f t="shared" si="1"/>
        <v/>
      </c>
      <c r="J64" s="17"/>
      <c r="K64" s="17"/>
      <c r="L64" s="17" t="str">
        <f>IF(K64="","",IFERROR(VLOOKUP(K64,COA!A:B,2,FALSE),"-"))</f>
        <v/>
      </c>
      <c r="M64" s="17"/>
      <c r="N64" s="17" t="str">
        <f>IF(M64="","",IFERROR(VLOOKUP(M64,COA!A:B,2,FALSE),"-"))</f>
        <v/>
      </c>
    </row>
    <row r="65">
      <c r="A65" s="43"/>
      <c r="C65" s="17"/>
      <c r="G65" s="17"/>
      <c r="H65" s="22"/>
      <c r="I65" s="20" t="str">
        <f t="shared" si="1"/>
        <v/>
      </c>
      <c r="J65" s="17"/>
      <c r="K65" s="17"/>
      <c r="L65" s="17" t="str">
        <f>IF(K65="","",IFERROR(VLOOKUP(K65,COA!A:B,2,FALSE),"-"))</f>
        <v/>
      </c>
      <c r="M65" s="17"/>
      <c r="N65" s="17" t="str">
        <f>IF(M65="","",IFERROR(VLOOKUP(M65,COA!A:B,2,FALSE),"-"))</f>
        <v/>
      </c>
    </row>
    <row r="66">
      <c r="A66" s="43"/>
      <c r="C66" s="17"/>
      <c r="G66" s="17"/>
      <c r="H66" s="22"/>
      <c r="I66" s="20" t="str">
        <f t="shared" si="1"/>
        <v/>
      </c>
      <c r="J66" s="17"/>
      <c r="K66" s="17"/>
      <c r="L66" s="17" t="str">
        <f>IF(K66="","",IFERROR(VLOOKUP(K66,COA!A:B,2,FALSE),"-"))</f>
        <v/>
      </c>
      <c r="M66" s="17"/>
      <c r="N66" s="17" t="str">
        <f>IF(M66="","",IFERROR(VLOOKUP(M66,COA!A:B,2,FALSE),"-"))</f>
        <v/>
      </c>
    </row>
    <row r="67">
      <c r="A67" s="43"/>
      <c r="C67" s="17"/>
      <c r="G67" s="17"/>
      <c r="H67" s="22"/>
      <c r="I67" s="20" t="str">
        <f t="shared" si="1"/>
        <v/>
      </c>
      <c r="J67" s="17"/>
      <c r="K67" s="17"/>
      <c r="L67" s="17" t="str">
        <f>IF(K67="","",IFERROR(VLOOKUP(K67,COA!A:B,2,FALSE),"-"))</f>
        <v/>
      </c>
      <c r="M67" s="17"/>
      <c r="N67" s="17" t="str">
        <f>IF(M67="","",IFERROR(VLOOKUP(M67,COA!A:B,2,FALSE),"-"))</f>
        <v/>
      </c>
    </row>
    <row r="68">
      <c r="A68" s="43"/>
      <c r="C68" s="17"/>
      <c r="G68" s="17"/>
      <c r="H68" s="22"/>
      <c r="I68" s="20" t="str">
        <f t="shared" si="1"/>
        <v/>
      </c>
      <c r="J68" s="17"/>
      <c r="K68" s="17"/>
      <c r="L68" s="17" t="str">
        <f>IF(K68="","",IFERROR(VLOOKUP(K68,COA!A:B,2,FALSE),"-"))</f>
        <v/>
      </c>
      <c r="M68" s="17"/>
      <c r="N68" s="17" t="str">
        <f>IF(M68="","",IFERROR(VLOOKUP(M68,COA!A:B,2,FALSE),"-"))</f>
        <v/>
      </c>
    </row>
    <row r="69">
      <c r="A69" s="43"/>
      <c r="C69" s="17"/>
      <c r="G69" s="17"/>
      <c r="H69" s="22"/>
      <c r="I69" s="20" t="str">
        <f t="shared" si="1"/>
        <v/>
      </c>
      <c r="J69" s="17"/>
      <c r="K69" s="17"/>
      <c r="L69" s="17" t="str">
        <f>IF(K69="","",IFERROR(VLOOKUP(K69,COA!A:B,2,FALSE),"-"))</f>
        <v/>
      </c>
      <c r="M69" s="17"/>
      <c r="N69" s="17" t="str">
        <f>IF(M69="","",IFERROR(VLOOKUP(M69,COA!A:B,2,FALSE),"-"))</f>
        <v/>
      </c>
    </row>
    <row r="70">
      <c r="A70" s="43"/>
      <c r="C70" s="17"/>
      <c r="G70" s="17"/>
      <c r="H70" s="22"/>
      <c r="I70" s="20" t="str">
        <f t="shared" si="1"/>
        <v/>
      </c>
      <c r="J70" s="17"/>
      <c r="K70" s="17"/>
      <c r="L70" s="17" t="str">
        <f>IF(K70="","",IFERROR(VLOOKUP(K70,COA!A:B,2,FALSE),"-"))</f>
        <v/>
      </c>
      <c r="M70" s="17"/>
      <c r="N70" s="17" t="str">
        <f>IF(M70="","",IFERROR(VLOOKUP(M70,COA!A:B,2,FALSE),"-"))</f>
        <v/>
      </c>
    </row>
    <row r="71">
      <c r="A71" s="43"/>
      <c r="C71" s="17"/>
      <c r="G71" s="17"/>
      <c r="H71" s="22"/>
      <c r="I71" s="20" t="str">
        <f t="shared" si="1"/>
        <v/>
      </c>
      <c r="J71" s="17"/>
      <c r="K71" s="17"/>
      <c r="L71" s="17" t="str">
        <f>IF(K71="","",IFERROR(VLOOKUP(K71,COA!A:B,2,FALSE),"-"))</f>
        <v/>
      </c>
      <c r="M71" s="17"/>
      <c r="N71" s="17" t="str">
        <f>IF(M71="","",IFERROR(VLOOKUP(M71,COA!A:B,2,FALSE),"-"))</f>
        <v/>
      </c>
    </row>
    <row r="72">
      <c r="A72" s="43"/>
      <c r="C72" s="17"/>
      <c r="G72" s="17"/>
      <c r="H72" s="22"/>
      <c r="I72" s="20" t="str">
        <f t="shared" si="1"/>
        <v/>
      </c>
      <c r="J72" s="17"/>
      <c r="K72" s="17"/>
      <c r="L72" s="17" t="str">
        <f>IF(K72="","",IFERROR(VLOOKUP(K72,COA!A:B,2,FALSE),"-"))</f>
        <v/>
      </c>
      <c r="M72" s="17"/>
      <c r="N72" s="17" t="str">
        <f>IF(M72="","",IFERROR(VLOOKUP(M72,COA!A:B,2,FALSE),"-"))</f>
        <v/>
      </c>
    </row>
    <row r="73">
      <c r="A73" s="43"/>
      <c r="C73" s="17"/>
      <c r="G73" s="17"/>
      <c r="H73" s="22"/>
      <c r="I73" s="20" t="str">
        <f t="shared" si="1"/>
        <v/>
      </c>
      <c r="J73" s="17"/>
      <c r="K73" s="17"/>
      <c r="L73" s="17" t="str">
        <f>IF(K73="","",IFERROR(VLOOKUP(K73,COA!A:B,2,FALSE),"-"))</f>
        <v/>
      </c>
      <c r="M73" s="17"/>
      <c r="N73" s="17" t="str">
        <f>IF(M73="","",IFERROR(VLOOKUP(M73,COA!A:B,2,FALSE),"-"))</f>
        <v/>
      </c>
    </row>
    <row r="74">
      <c r="A74" s="43"/>
      <c r="C74" s="17"/>
      <c r="G74" s="17"/>
      <c r="H74" s="22"/>
      <c r="I74" s="20" t="str">
        <f t="shared" si="1"/>
        <v/>
      </c>
      <c r="J74" s="17"/>
      <c r="K74" s="17"/>
      <c r="L74" s="17" t="str">
        <f>IF(K74="","",IFERROR(VLOOKUP(K74,COA!A:B,2,FALSE),"-"))</f>
        <v/>
      </c>
      <c r="M74" s="17"/>
      <c r="N74" s="17" t="str">
        <f>IF(M74="","",IFERROR(VLOOKUP(M74,COA!A:B,2,FALSE),"-"))</f>
        <v/>
      </c>
    </row>
    <row r="75">
      <c r="A75" s="43"/>
      <c r="C75" s="17"/>
      <c r="G75" s="17"/>
      <c r="H75" s="22"/>
      <c r="I75" s="20" t="str">
        <f t="shared" si="1"/>
        <v/>
      </c>
      <c r="J75" s="17"/>
      <c r="K75" s="17"/>
      <c r="L75" s="17" t="str">
        <f>IF(K75="","",IFERROR(VLOOKUP(K75,COA!A:B,2,FALSE),"-"))</f>
        <v/>
      </c>
      <c r="M75" s="17"/>
      <c r="N75" s="17" t="str">
        <f>IF(M75="","",IFERROR(VLOOKUP(M75,COA!A:B,2,FALSE),"-"))</f>
        <v/>
      </c>
    </row>
    <row r="76">
      <c r="A76" s="43"/>
      <c r="C76" s="17"/>
      <c r="G76" s="17"/>
      <c r="H76" s="22"/>
      <c r="I76" s="20" t="str">
        <f t="shared" si="1"/>
        <v/>
      </c>
      <c r="J76" s="17"/>
      <c r="K76" s="17"/>
      <c r="L76" s="17" t="str">
        <f>IF(K76="","",IFERROR(VLOOKUP(K76,COA!A:B,2,FALSE),"-"))</f>
        <v/>
      </c>
      <c r="M76" s="17"/>
      <c r="N76" s="17" t="str">
        <f>IF(M76="","",IFERROR(VLOOKUP(M76,COA!A:B,2,FALSE),"-"))</f>
        <v/>
      </c>
    </row>
    <row r="77">
      <c r="A77" s="43"/>
      <c r="C77" s="17"/>
      <c r="G77" s="17"/>
      <c r="H77" s="22"/>
      <c r="I77" s="20" t="str">
        <f t="shared" si="1"/>
        <v/>
      </c>
      <c r="J77" s="17"/>
      <c r="K77" s="17"/>
      <c r="L77" s="17" t="str">
        <f>IF(K77="","",IFERROR(VLOOKUP(K77,COA!A:B,2,FALSE),"-"))</f>
        <v/>
      </c>
      <c r="M77" s="17"/>
      <c r="N77" s="17" t="str">
        <f>IF(M77="","",IFERROR(VLOOKUP(M77,COA!A:B,2,FALSE),"-"))</f>
        <v/>
      </c>
    </row>
    <row r="78">
      <c r="A78" s="43"/>
      <c r="C78" s="17"/>
      <c r="G78" s="17"/>
      <c r="H78" s="22"/>
      <c r="I78" s="20" t="str">
        <f t="shared" si="1"/>
        <v/>
      </c>
      <c r="J78" s="17"/>
      <c r="K78" s="17"/>
      <c r="L78" s="17" t="str">
        <f>IF(K78="","",IFERROR(VLOOKUP(K78,COA!A:B,2,FALSE),"-"))</f>
        <v/>
      </c>
      <c r="M78" s="17"/>
      <c r="N78" s="17" t="str">
        <f>IF(M78="","",IFERROR(VLOOKUP(M78,COA!A:B,2,FALSE),"-"))</f>
        <v/>
      </c>
    </row>
    <row r="79">
      <c r="A79" s="43"/>
      <c r="C79" s="17"/>
      <c r="G79" s="17"/>
      <c r="H79" s="22"/>
      <c r="I79" s="20" t="str">
        <f t="shared" si="1"/>
        <v/>
      </c>
      <c r="J79" s="17"/>
      <c r="K79" s="17"/>
      <c r="L79" s="17" t="str">
        <f>IF(K79="","",IFERROR(VLOOKUP(K79,COA!A:B,2,FALSE),"-"))</f>
        <v/>
      </c>
      <c r="M79" s="17"/>
      <c r="N79" s="17" t="str">
        <f>IF(M79="","",IFERROR(VLOOKUP(M79,COA!A:B,2,FALSE),"-"))</f>
        <v/>
      </c>
    </row>
    <row r="80">
      <c r="A80" s="43"/>
      <c r="C80" s="17"/>
      <c r="G80" s="17"/>
      <c r="H80" s="22"/>
      <c r="I80" s="20" t="str">
        <f t="shared" si="1"/>
        <v/>
      </c>
      <c r="J80" s="17"/>
      <c r="K80" s="17"/>
      <c r="L80" s="17" t="str">
        <f>IF(K80="","",IFERROR(VLOOKUP(K80,COA!A:B,2,FALSE),"-"))</f>
        <v/>
      </c>
      <c r="M80" s="17"/>
      <c r="N80" s="17" t="str">
        <f>IF(M80="","",IFERROR(VLOOKUP(M80,COA!A:B,2,FALSE),"-"))</f>
        <v/>
      </c>
    </row>
    <row r="81">
      <c r="A81" s="43"/>
      <c r="C81" s="17"/>
      <c r="G81" s="17"/>
      <c r="H81" s="22"/>
      <c r="I81" s="20" t="str">
        <f t="shared" si="1"/>
        <v/>
      </c>
      <c r="J81" s="17"/>
      <c r="K81" s="17"/>
      <c r="L81" s="17" t="str">
        <f>IF(K81="","",IFERROR(VLOOKUP(K81,COA!A:B,2,FALSE),"-"))</f>
        <v/>
      </c>
      <c r="M81" s="17"/>
      <c r="N81" s="17" t="str">
        <f>IF(M81="","",IFERROR(VLOOKUP(M81,COA!A:B,2,FALSE),"-"))</f>
        <v/>
      </c>
    </row>
    <row r="82">
      <c r="A82" s="43"/>
      <c r="C82" s="17"/>
      <c r="G82" s="17"/>
      <c r="H82" s="22"/>
      <c r="I82" s="20" t="str">
        <f t="shared" si="1"/>
        <v/>
      </c>
      <c r="J82" s="17"/>
      <c r="K82" s="17"/>
      <c r="L82" s="17" t="str">
        <f>IF(K82="","",IFERROR(VLOOKUP(K82,COA!A:B,2,FALSE),"-"))</f>
        <v/>
      </c>
      <c r="M82" s="17"/>
      <c r="N82" s="17" t="str">
        <f>IF(M82="","",IFERROR(VLOOKUP(M82,COA!A:B,2,FALSE),"-"))</f>
        <v/>
      </c>
    </row>
    <row r="83">
      <c r="A83" s="43"/>
      <c r="C83" s="17"/>
      <c r="G83" s="17"/>
      <c r="H83" s="22"/>
      <c r="I83" s="20" t="str">
        <f t="shared" si="1"/>
        <v/>
      </c>
      <c r="J83" s="17"/>
      <c r="K83" s="17"/>
      <c r="L83" s="17" t="str">
        <f>IF(K83="","",IFERROR(VLOOKUP(K83,COA!A:B,2,FALSE),"-"))</f>
        <v/>
      </c>
      <c r="M83" s="17"/>
      <c r="N83" s="17" t="str">
        <f>IF(M83="","",IFERROR(VLOOKUP(M83,COA!A:B,2,FALSE),"-"))</f>
        <v/>
      </c>
    </row>
    <row r="84">
      <c r="A84" s="43"/>
      <c r="C84" s="17"/>
      <c r="G84" s="17"/>
      <c r="H84" s="22"/>
      <c r="I84" s="20" t="str">
        <f t="shared" si="1"/>
        <v/>
      </c>
      <c r="J84" s="17"/>
      <c r="K84" s="17"/>
      <c r="L84" s="17" t="str">
        <f>IF(K84="","",IFERROR(VLOOKUP(K84,COA!A:B,2,FALSE),"-"))</f>
        <v/>
      </c>
      <c r="M84" s="17"/>
      <c r="N84" s="17" t="str">
        <f>IF(M84="","",IFERROR(VLOOKUP(M84,COA!A:B,2,FALSE),"-"))</f>
        <v/>
      </c>
    </row>
    <row r="85">
      <c r="A85" s="43"/>
      <c r="C85" s="17"/>
      <c r="G85" s="17"/>
      <c r="H85" s="22"/>
      <c r="I85" s="20" t="str">
        <f t="shared" si="1"/>
        <v/>
      </c>
      <c r="J85" s="17"/>
      <c r="K85" s="17"/>
      <c r="L85" s="17" t="str">
        <f>IF(K85="","",IFERROR(VLOOKUP(K85,COA!A:B,2,FALSE),"-"))</f>
        <v/>
      </c>
      <c r="M85" s="17"/>
      <c r="N85" s="17" t="str">
        <f>IF(M85="","",IFERROR(VLOOKUP(M85,COA!A:B,2,FALSE),"-"))</f>
        <v/>
      </c>
    </row>
    <row r="86">
      <c r="A86" s="43"/>
      <c r="C86" s="17"/>
      <c r="G86" s="17"/>
      <c r="H86" s="22"/>
      <c r="I86" s="20" t="str">
        <f t="shared" si="1"/>
        <v/>
      </c>
      <c r="J86" s="17"/>
      <c r="K86" s="17"/>
      <c r="L86" s="17" t="str">
        <f>IF(K86="","",IFERROR(VLOOKUP(K86,COA!A:B,2,FALSE),"-"))</f>
        <v/>
      </c>
      <c r="M86" s="17"/>
      <c r="N86" s="17" t="str">
        <f>IF(M86="","",IFERROR(VLOOKUP(M86,COA!A:B,2,FALSE),"-"))</f>
        <v/>
      </c>
    </row>
    <row r="87">
      <c r="A87" s="43"/>
      <c r="C87" s="17"/>
      <c r="G87" s="17"/>
      <c r="H87" s="22"/>
      <c r="I87" s="20" t="str">
        <f t="shared" si="1"/>
        <v/>
      </c>
      <c r="J87" s="17"/>
      <c r="K87" s="17"/>
      <c r="L87" s="17" t="str">
        <f>IF(K87="","",IFERROR(VLOOKUP(K87,COA!A:B,2,FALSE),"-"))</f>
        <v/>
      </c>
      <c r="M87" s="17"/>
      <c r="N87" s="17" t="str">
        <f>IF(M87="","",IFERROR(VLOOKUP(M87,COA!A:B,2,FALSE),"-"))</f>
        <v/>
      </c>
    </row>
    <row r="88">
      <c r="A88" s="43"/>
      <c r="C88" s="17"/>
      <c r="G88" s="17"/>
      <c r="H88" s="22"/>
      <c r="I88" s="20" t="str">
        <f t="shared" si="1"/>
        <v/>
      </c>
      <c r="J88" s="17"/>
      <c r="K88" s="17"/>
      <c r="L88" s="17" t="str">
        <f>IF(K88="","",IFERROR(VLOOKUP(K88,COA!A:B,2,FALSE),"-"))</f>
        <v/>
      </c>
      <c r="M88" s="17"/>
      <c r="N88" s="17" t="str">
        <f>IF(M88="","",IFERROR(VLOOKUP(M88,COA!A:B,2,FALSE),"-"))</f>
        <v/>
      </c>
    </row>
    <row r="89">
      <c r="A89" s="43"/>
      <c r="C89" s="17"/>
      <c r="G89" s="17"/>
      <c r="H89" s="22"/>
      <c r="I89" s="20" t="str">
        <f t="shared" si="1"/>
        <v/>
      </c>
      <c r="J89" s="17"/>
      <c r="K89" s="17"/>
      <c r="L89" s="17" t="str">
        <f>IF(K89="","",IFERROR(VLOOKUP(K89,COA!A:B,2,FALSE),"-"))</f>
        <v/>
      </c>
      <c r="M89" s="17"/>
      <c r="N89" s="17" t="str">
        <f>IF(M89="","",IFERROR(VLOOKUP(M89,COA!A:B,2,FALSE),"-"))</f>
        <v/>
      </c>
    </row>
    <row r="90">
      <c r="A90" s="43"/>
      <c r="C90" s="17"/>
      <c r="G90" s="17"/>
      <c r="H90" s="22"/>
      <c r="I90" s="20" t="str">
        <f t="shared" si="1"/>
        <v/>
      </c>
      <c r="J90" s="17"/>
      <c r="K90" s="17"/>
      <c r="L90" s="17" t="str">
        <f>IF(K90="","",IFERROR(VLOOKUP(K90,COA!A:B,2,FALSE),"-"))</f>
        <v/>
      </c>
      <c r="M90" s="17"/>
      <c r="N90" s="17" t="str">
        <f>IF(M90="","",IFERROR(VLOOKUP(M90,COA!A:B,2,FALSE),"-"))</f>
        <v/>
      </c>
    </row>
    <row r="91">
      <c r="A91" s="43"/>
      <c r="C91" s="17"/>
      <c r="G91" s="17"/>
      <c r="H91" s="22"/>
      <c r="I91" s="20" t="str">
        <f t="shared" si="1"/>
        <v/>
      </c>
      <c r="J91" s="17"/>
      <c r="K91" s="17"/>
      <c r="L91" s="17" t="str">
        <f>IF(K91="","",IFERROR(VLOOKUP(K91,COA!A:B,2,FALSE),"-"))</f>
        <v/>
      </c>
      <c r="M91" s="17"/>
      <c r="N91" s="17" t="str">
        <f>IF(M91="","",IFERROR(VLOOKUP(M91,COA!A:B,2,FALSE),"-"))</f>
        <v/>
      </c>
    </row>
    <row r="92">
      <c r="A92" s="43"/>
      <c r="C92" s="17"/>
      <c r="G92" s="17"/>
      <c r="H92" s="22"/>
      <c r="I92" s="20" t="str">
        <f t="shared" si="1"/>
        <v/>
      </c>
      <c r="J92" s="17"/>
      <c r="K92" s="17"/>
      <c r="L92" s="17" t="str">
        <f>IF(K92="","",IFERROR(VLOOKUP(K92,COA!A:B,2,FALSE),"-"))</f>
        <v/>
      </c>
      <c r="M92" s="17"/>
      <c r="N92" s="17" t="str">
        <f>IF(M92="","",IFERROR(VLOOKUP(M92,COA!A:B,2,FALSE),"-"))</f>
        <v/>
      </c>
    </row>
    <row r="93">
      <c r="A93" s="43"/>
      <c r="C93" s="17"/>
      <c r="G93" s="17"/>
      <c r="H93" s="22"/>
      <c r="I93" s="20" t="str">
        <f t="shared" si="1"/>
        <v/>
      </c>
      <c r="J93" s="17"/>
      <c r="K93" s="17"/>
      <c r="L93" s="17" t="str">
        <f>IF(K93="","",IFERROR(VLOOKUP(K93,COA!A:B,2,FALSE),"-"))</f>
        <v/>
      </c>
      <c r="M93" s="17"/>
      <c r="N93" s="17" t="str">
        <f>IF(M93="","",IFERROR(VLOOKUP(M93,COA!A:B,2,FALSE),"-"))</f>
        <v/>
      </c>
    </row>
    <row r="94">
      <c r="A94" s="43"/>
      <c r="C94" s="17"/>
      <c r="G94" s="17"/>
      <c r="H94" s="22"/>
      <c r="I94" s="20" t="str">
        <f t="shared" si="1"/>
        <v/>
      </c>
      <c r="J94" s="17"/>
      <c r="K94" s="17"/>
      <c r="L94" s="17" t="str">
        <f>IF(K94="","",IFERROR(VLOOKUP(K94,COA!A:B,2,FALSE),"-"))</f>
        <v/>
      </c>
      <c r="M94" s="17"/>
      <c r="N94" s="17" t="str">
        <f>IF(M94="","",IFERROR(VLOOKUP(M94,COA!A:B,2,FALSE),"-"))</f>
        <v/>
      </c>
    </row>
    <row r="95">
      <c r="A95" s="43"/>
      <c r="C95" s="17"/>
      <c r="G95" s="17"/>
      <c r="H95" s="22"/>
      <c r="I95" s="20" t="str">
        <f t="shared" si="1"/>
        <v/>
      </c>
      <c r="J95" s="17"/>
      <c r="K95" s="17"/>
      <c r="L95" s="17" t="str">
        <f>IF(K95="","",IFERROR(VLOOKUP(K95,COA!A:B,2,FALSE),"-"))</f>
        <v/>
      </c>
      <c r="M95" s="17"/>
      <c r="N95" s="17" t="str">
        <f>IF(M95="","",IFERROR(VLOOKUP(M95,COA!A:B,2,FALSE),"-"))</f>
        <v/>
      </c>
    </row>
    <row r="96">
      <c r="A96" s="43"/>
      <c r="C96" s="17"/>
      <c r="G96" s="17"/>
      <c r="H96" s="22"/>
      <c r="I96" s="20" t="str">
        <f t="shared" si="1"/>
        <v/>
      </c>
      <c r="J96" s="17"/>
      <c r="K96" s="17"/>
      <c r="L96" s="17" t="str">
        <f>IF(K96="","",IFERROR(VLOOKUP(K96,COA!A:B,2,FALSE),"-"))</f>
        <v/>
      </c>
      <c r="M96" s="17"/>
      <c r="N96" s="17" t="str">
        <f>IF(M96="","",IFERROR(VLOOKUP(M96,COA!A:B,2,FALSE),"-"))</f>
        <v/>
      </c>
    </row>
    <row r="97">
      <c r="A97" s="43"/>
      <c r="C97" s="17"/>
      <c r="G97" s="17"/>
      <c r="H97" s="22"/>
      <c r="I97" s="20" t="str">
        <f t="shared" si="1"/>
        <v/>
      </c>
      <c r="J97" s="17"/>
      <c r="K97" s="17"/>
      <c r="L97" s="17" t="str">
        <f>IF(K97="","",IFERROR(VLOOKUP(K97,COA!A:B,2,FALSE),"-"))</f>
        <v/>
      </c>
      <c r="M97" s="17"/>
      <c r="N97" s="17" t="str">
        <f>IF(M97="","",IFERROR(VLOOKUP(M97,COA!A:B,2,FALSE),"-"))</f>
        <v/>
      </c>
    </row>
    <row r="98">
      <c r="A98" s="43"/>
      <c r="C98" s="17"/>
      <c r="G98" s="17"/>
      <c r="H98" s="22"/>
      <c r="I98" s="20" t="str">
        <f t="shared" si="1"/>
        <v/>
      </c>
      <c r="J98" s="17"/>
      <c r="K98" s="17"/>
      <c r="L98" s="17" t="str">
        <f>IF(K98="","",IFERROR(VLOOKUP(K98,COA!A:B,2,FALSE),"-"))</f>
        <v/>
      </c>
      <c r="M98" s="17"/>
      <c r="N98" s="17" t="str">
        <f>IF(M98="","",IFERROR(VLOOKUP(M98,COA!A:B,2,FALSE),"-"))</f>
        <v/>
      </c>
    </row>
    <row r="99">
      <c r="A99" s="43"/>
      <c r="C99" s="17"/>
      <c r="G99" s="17"/>
      <c r="H99" s="22"/>
      <c r="I99" s="20" t="str">
        <f t="shared" si="1"/>
        <v/>
      </c>
      <c r="J99" s="17"/>
      <c r="K99" s="17"/>
      <c r="L99" s="17" t="str">
        <f>IF(K99="","",IFERROR(VLOOKUP(K99,COA!A:B,2,FALSE),"-"))</f>
        <v/>
      </c>
      <c r="M99" s="17"/>
      <c r="N99" s="17" t="str">
        <f>IF(M99="","",IFERROR(VLOOKUP(M99,COA!A:B,2,FALSE),"-"))</f>
        <v/>
      </c>
    </row>
    <row r="100">
      <c r="A100" s="43"/>
      <c r="C100" s="17"/>
      <c r="G100" s="17"/>
      <c r="H100" s="22"/>
      <c r="I100" s="20" t="str">
        <f t="shared" si="1"/>
        <v/>
      </c>
      <c r="J100" s="17"/>
      <c r="K100" s="17"/>
      <c r="L100" s="17" t="str">
        <f>IF(K100="","",IFERROR(VLOOKUP(K100,COA!A:B,2,FALSE),"-"))</f>
        <v/>
      </c>
      <c r="M100" s="17"/>
      <c r="N100" s="17" t="str">
        <f>IF(M100="","",IFERROR(VLOOKUP(M100,COA!A:B,2,FALSE),"-"))</f>
        <v/>
      </c>
    </row>
    <row r="101">
      <c r="A101" s="43"/>
      <c r="C101" s="17"/>
      <c r="G101" s="17"/>
      <c r="H101" s="22"/>
      <c r="I101" s="20" t="str">
        <f t="shared" si="1"/>
        <v/>
      </c>
      <c r="J101" s="17"/>
      <c r="K101" s="17"/>
      <c r="L101" s="17" t="str">
        <f>IF(K101="","",IFERROR(VLOOKUP(K101,COA!A:B,2,FALSE),"-"))</f>
        <v/>
      </c>
      <c r="M101" s="17"/>
      <c r="N101" s="17" t="str">
        <f>IF(M101="","",IFERROR(VLOOKUP(M101,COA!A:B,2,FALSE),"-"))</f>
        <v/>
      </c>
    </row>
    <row r="102">
      <c r="A102" s="43"/>
      <c r="C102" s="17"/>
      <c r="G102" s="17"/>
      <c r="H102" s="22"/>
      <c r="I102" s="20" t="str">
        <f t="shared" si="1"/>
        <v/>
      </c>
      <c r="J102" s="17"/>
      <c r="K102" s="17"/>
      <c r="L102" s="17" t="str">
        <f>IF(K102="","",IFERROR(VLOOKUP(K102,COA!A:B,2,FALSE),"-"))</f>
        <v/>
      </c>
      <c r="M102" s="17"/>
      <c r="N102" s="17" t="str">
        <f>IF(M102="","",IFERROR(VLOOKUP(M102,COA!A:B,2,FALSE),"-"))</f>
        <v/>
      </c>
    </row>
    <row r="103">
      <c r="A103" s="43"/>
      <c r="C103" s="17"/>
      <c r="G103" s="17"/>
      <c r="H103" s="22"/>
      <c r="I103" s="20" t="str">
        <f t="shared" si="1"/>
        <v/>
      </c>
      <c r="J103" s="17"/>
      <c r="K103" s="17"/>
      <c r="L103" s="17" t="str">
        <f>IF(K103="","",IFERROR(VLOOKUP(K103,COA!A:B,2,FALSE),"-"))</f>
        <v/>
      </c>
      <c r="M103" s="17"/>
      <c r="N103" s="17" t="str">
        <f>IF(M103="","",IFERROR(VLOOKUP(M103,COA!A:B,2,FALSE),"-"))</f>
        <v/>
      </c>
    </row>
    <row r="104">
      <c r="A104" s="43"/>
      <c r="C104" s="17"/>
      <c r="G104" s="17"/>
      <c r="H104" s="22"/>
      <c r="I104" s="20" t="str">
        <f t="shared" si="1"/>
        <v/>
      </c>
      <c r="J104" s="17"/>
      <c r="K104" s="17"/>
      <c r="L104" s="17" t="str">
        <f>IF(K104="","",IFERROR(VLOOKUP(K104,COA!A:B,2,FALSE),"-"))</f>
        <v/>
      </c>
      <c r="M104" s="17"/>
      <c r="N104" s="17" t="str">
        <f>IF(M104="","",IFERROR(VLOOKUP(M104,COA!A:B,2,FALSE),"-"))</f>
        <v/>
      </c>
    </row>
    <row r="105">
      <c r="A105" s="43"/>
      <c r="C105" s="17"/>
      <c r="G105" s="17"/>
      <c r="H105" s="22"/>
      <c r="I105" s="20" t="str">
        <f t="shared" si="1"/>
        <v/>
      </c>
      <c r="J105" s="17"/>
      <c r="K105" s="17"/>
      <c r="L105" s="17" t="str">
        <f>IF(K105="","",IFERROR(VLOOKUP(K105,COA!A:B,2,FALSE),"-"))</f>
        <v/>
      </c>
      <c r="M105" s="17"/>
      <c r="N105" s="17" t="str">
        <f>IF(M105="","",IFERROR(VLOOKUP(M105,COA!A:B,2,FALSE),"-"))</f>
        <v/>
      </c>
    </row>
    <row r="106">
      <c r="A106" s="43"/>
      <c r="C106" s="17"/>
      <c r="G106" s="17"/>
      <c r="H106" s="22"/>
      <c r="I106" s="20" t="str">
        <f t="shared" si="1"/>
        <v/>
      </c>
      <c r="J106" s="17"/>
      <c r="K106" s="17"/>
      <c r="L106" s="17" t="str">
        <f>IF(K106="","",IFERROR(VLOOKUP(K106,COA!A:B,2,FALSE),"-"))</f>
        <v/>
      </c>
      <c r="M106" s="17"/>
      <c r="N106" s="17" t="str">
        <f>IF(M106="","",IFERROR(VLOOKUP(M106,COA!A:B,2,FALSE),"-"))</f>
        <v/>
      </c>
    </row>
    <row r="107">
      <c r="A107" s="43"/>
      <c r="C107" s="17"/>
      <c r="G107" s="17"/>
      <c r="H107" s="22"/>
      <c r="I107" s="20" t="str">
        <f t="shared" si="1"/>
        <v/>
      </c>
      <c r="J107" s="17"/>
      <c r="K107" s="17"/>
      <c r="L107" s="17" t="str">
        <f>IF(K107="","",IFERROR(VLOOKUP(K107,COA!A:B,2,FALSE),"-"))</f>
        <v/>
      </c>
      <c r="M107" s="17"/>
      <c r="N107" s="17" t="str">
        <f>IF(M107="","",IFERROR(VLOOKUP(M107,COA!A:B,2,FALSE),"-"))</f>
        <v/>
      </c>
    </row>
    <row r="108">
      <c r="A108" s="43"/>
      <c r="C108" s="17"/>
      <c r="G108" s="17"/>
      <c r="H108" s="22"/>
      <c r="I108" s="20" t="str">
        <f t="shared" si="1"/>
        <v/>
      </c>
      <c r="J108" s="17"/>
      <c r="K108" s="17"/>
      <c r="L108" s="17" t="str">
        <f>IF(K108="","",IFERROR(VLOOKUP(K108,COA!A:B,2,FALSE),"-"))</f>
        <v/>
      </c>
      <c r="M108" s="17"/>
      <c r="N108" s="17" t="str">
        <f>IF(M108="","",IFERROR(VLOOKUP(M108,COA!A:B,2,FALSE),"-"))</f>
        <v/>
      </c>
    </row>
    <row r="109">
      <c r="A109" s="43"/>
      <c r="C109" s="17"/>
      <c r="G109" s="17"/>
      <c r="H109" s="22"/>
      <c r="I109" s="20" t="str">
        <f t="shared" si="1"/>
        <v/>
      </c>
      <c r="J109" s="17"/>
      <c r="K109" s="17"/>
      <c r="L109" s="17" t="str">
        <f>IF(K109="","",IFERROR(VLOOKUP(K109,COA!A:B,2,FALSE),"-"))</f>
        <v/>
      </c>
      <c r="M109" s="17"/>
      <c r="N109" s="17" t="str">
        <f>IF(M109="","",IFERROR(VLOOKUP(M109,COA!A:B,2,FALSE),"-"))</f>
        <v/>
      </c>
    </row>
    <row r="110">
      <c r="A110" s="43"/>
      <c r="C110" s="17"/>
      <c r="G110" s="17"/>
      <c r="H110" s="22"/>
      <c r="I110" s="20" t="str">
        <f t="shared" si="1"/>
        <v/>
      </c>
      <c r="J110" s="17"/>
      <c r="K110" s="17"/>
      <c r="L110" s="17" t="str">
        <f>IF(K110="","",IFERROR(VLOOKUP(K110,COA!A:B,2,FALSE),"-"))</f>
        <v/>
      </c>
      <c r="M110" s="17"/>
      <c r="N110" s="17" t="str">
        <f>IF(M110="","",IFERROR(VLOOKUP(M110,COA!A:B,2,FALSE),"-"))</f>
        <v/>
      </c>
    </row>
    <row r="111">
      <c r="A111" s="43"/>
      <c r="C111" s="17"/>
      <c r="G111" s="17"/>
      <c r="H111" s="22"/>
      <c r="I111" s="20" t="str">
        <f t="shared" si="1"/>
        <v/>
      </c>
      <c r="J111" s="17"/>
      <c r="K111" s="17"/>
      <c r="L111" s="17" t="str">
        <f>IF(K111="","",IFERROR(VLOOKUP(K111,COA!A:B,2,FALSE),"-"))</f>
        <v/>
      </c>
      <c r="M111" s="17"/>
      <c r="N111" s="17" t="str">
        <f>IF(M111="","",IFERROR(VLOOKUP(M111,COA!A:B,2,FALSE),"-"))</f>
        <v/>
      </c>
    </row>
    <row r="112">
      <c r="A112" s="43"/>
      <c r="C112" s="17"/>
      <c r="G112" s="17"/>
      <c r="H112" s="22"/>
      <c r="I112" s="20" t="str">
        <f t="shared" si="1"/>
        <v/>
      </c>
      <c r="J112" s="17"/>
      <c r="K112" s="17"/>
      <c r="L112" s="17" t="str">
        <f>IF(K112="","",IFERROR(VLOOKUP(K112,COA!A:B,2,FALSE),"-"))</f>
        <v/>
      </c>
      <c r="M112" s="17"/>
      <c r="N112" s="17" t="str">
        <f>IF(M112="","",IFERROR(VLOOKUP(M112,COA!A:B,2,FALSE),"-"))</f>
        <v/>
      </c>
    </row>
    <row r="113">
      <c r="A113" s="43"/>
      <c r="C113" s="17"/>
      <c r="G113" s="17"/>
      <c r="H113" s="22"/>
      <c r="I113" s="20" t="str">
        <f t="shared" si="1"/>
        <v/>
      </c>
      <c r="J113" s="17"/>
      <c r="K113" s="17"/>
      <c r="L113" s="17" t="str">
        <f>IF(K113="","",IFERROR(VLOOKUP(K113,COA!A:B,2,FALSE),"-"))</f>
        <v/>
      </c>
      <c r="M113" s="17"/>
      <c r="N113" s="17" t="str">
        <f>IF(M113="","",IFERROR(VLOOKUP(M113,COA!A:B,2,FALSE),"-"))</f>
        <v/>
      </c>
    </row>
    <row r="114">
      <c r="A114" s="43"/>
      <c r="C114" s="17"/>
      <c r="G114" s="17"/>
      <c r="H114" s="22"/>
      <c r="I114" s="20" t="str">
        <f t="shared" si="1"/>
        <v/>
      </c>
      <c r="J114" s="17"/>
      <c r="K114" s="17"/>
      <c r="L114" s="17" t="str">
        <f>IF(K114="","",IFERROR(VLOOKUP(K114,COA!A:B,2,FALSE),"-"))</f>
        <v/>
      </c>
      <c r="M114" s="17"/>
      <c r="N114" s="17" t="str">
        <f>IF(M114="","",IFERROR(VLOOKUP(M114,COA!A:B,2,FALSE),"-"))</f>
        <v/>
      </c>
    </row>
    <row r="115">
      <c r="A115" s="43"/>
      <c r="C115" s="17"/>
      <c r="G115" s="17"/>
      <c r="H115" s="22"/>
      <c r="I115" s="20" t="str">
        <f t="shared" si="1"/>
        <v/>
      </c>
      <c r="J115" s="17"/>
      <c r="K115" s="17"/>
      <c r="L115" s="17" t="str">
        <f>IF(K115="","",IFERROR(VLOOKUP(K115,COA!A:B,2,FALSE),"-"))</f>
        <v/>
      </c>
      <c r="M115" s="17"/>
      <c r="N115" s="17" t="str">
        <f>IF(M115="","",IFERROR(VLOOKUP(M115,COA!A:B,2,FALSE),"-"))</f>
        <v/>
      </c>
    </row>
    <row r="116">
      <c r="A116" s="43"/>
      <c r="C116" s="17"/>
      <c r="G116" s="17"/>
      <c r="H116" s="22"/>
      <c r="I116" s="20" t="str">
        <f t="shared" si="1"/>
        <v/>
      </c>
      <c r="J116" s="17"/>
      <c r="K116" s="17"/>
      <c r="L116" s="17" t="str">
        <f>IF(K116="","",IFERROR(VLOOKUP(K116,COA!A:B,2,FALSE),"-"))</f>
        <v/>
      </c>
      <c r="M116" s="17"/>
      <c r="N116" s="17" t="str">
        <f>IF(M116="","",IFERROR(VLOOKUP(M116,COA!A:B,2,FALSE),"-"))</f>
        <v/>
      </c>
    </row>
    <row r="117">
      <c r="A117" s="43"/>
      <c r="C117" s="17"/>
      <c r="G117" s="17"/>
      <c r="H117" s="22"/>
      <c r="I117" s="20" t="str">
        <f t="shared" si="1"/>
        <v/>
      </c>
      <c r="J117" s="17"/>
      <c r="K117" s="17"/>
      <c r="L117" s="17" t="str">
        <f>IF(K117="","",IFERROR(VLOOKUP(K117,COA!A:B,2,FALSE),"-"))</f>
        <v/>
      </c>
      <c r="M117" s="17"/>
      <c r="N117" s="17" t="str">
        <f>IF(M117="","",IFERROR(VLOOKUP(M117,COA!A:B,2,FALSE),"-"))</f>
        <v/>
      </c>
    </row>
    <row r="118">
      <c r="A118" s="43"/>
      <c r="C118" s="17"/>
      <c r="G118" s="17"/>
      <c r="H118" s="22"/>
      <c r="I118" s="20" t="str">
        <f t="shared" si="1"/>
        <v/>
      </c>
      <c r="J118" s="17"/>
      <c r="K118" s="17"/>
      <c r="L118" s="17" t="str">
        <f>IF(K118="","",IFERROR(VLOOKUP(K118,COA!A:B,2,FALSE),"-"))</f>
        <v/>
      </c>
      <c r="M118" s="17"/>
      <c r="N118" s="17" t="str">
        <f>IF(M118="","",IFERROR(VLOOKUP(M118,COA!A:B,2,FALSE),"-"))</f>
        <v/>
      </c>
    </row>
    <row r="119">
      <c r="A119" s="43"/>
      <c r="C119" s="17"/>
      <c r="G119" s="17"/>
      <c r="H119" s="22"/>
      <c r="I119" s="20" t="str">
        <f t="shared" si="1"/>
        <v/>
      </c>
      <c r="J119" s="17"/>
      <c r="K119" s="17"/>
      <c r="L119" s="17" t="str">
        <f>IF(K119="","",IFERROR(VLOOKUP(K119,COA!A:B,2,FALSE),"-"))</f>
        <v/>
      </c>
      <c r="M119" s="17"/>
      <c r="N119" s="17" t="str">
        <f>IF(M119="","",IFERROR(VLOOKUP(M119,COA!A:B,2,FALSE),"-"))</f>
        <v/>
      </c>
    </row>
    <row r="120">
      <c r="A120" s="43"/>
      <c r="C120" s="17"/>
      <c r="G120" s="17"/>
      <c r="H120" s="22"/>
      <c r="I120" s="20" t="str">
        <f t="shared" si="1"/>
        <v/>
      </c>
      <c r="J120" s="17"/>
      <c r="K120" s="17"/>
      <c r="L120" s="17" t="str">
        <f>IF(K120="","",IFERROR(VLOOKUP(K120,COA!A:B,2,FALSE),"-"))</f>
        <v/>
      </c>
      <c r="M120" s="17"/>
      <c r="N120" s="17" t="str">
        <f>IF(M120="","",IFERROR(VLOOKUP(M120,COA!A:B,2,FALSE),"-"))</f>
        <v/>
      </c>
    </row>
    <row r="121">
      <c r="A121" s="43"/>
      <c r="C121" s="17"/>
      <c r="G121" s="17"/>
      <c r="H121" s="22"/>
      <c r="I121" s="20" t="str">
        <f t="shared" si="1"/>
        <v/>
      </c>
      <c r="J121" s="17"/>
      <c r="K121" s="17"/>
      <c r="L121" s="17" t="str">
        <f>IF(K121="","",IFERROR(VLOOKUP(K121,COA!A:B,2,FALSE),"-"))</f>
        <v/>
      </c>
      <c r="M121" s="17"/>
      <c r="N121" s="17" t="str">
        <f>IF(M121="","",IFERROR(VLOOKUP(M121,COA!A:B,2,FALSE),"-"))</f>
        <v/>
      </c>
    </row>
    <row r="122">
      <c r="A122" s="43"/>
      <c r="C122" s="17"/>
      <c r="G122" s="17"/>
      <c r="H122" s="22"/>
      <c r="I122" s="20" t="str">
        <f t="shared" si="1"/>
        <v/>
      </c>
      <c r="J122" s="17"/>
      <c r="K122" s="17"/>
      <c r="L122" s="17" t="str">
        <f>IF(K122="","",IFERROR(VLOOKUP(K122,COA!A:B,2,FALSE),"-"))</f>
        <v/>
      </c>
      <c r="M122" s="17"/>
      <c r="N122" s="17" t="str">
        <f>IF(M122="","",IFERROR(VLOOKUP(M122,COA!A:B,2,FALSE),"-"))</f>
        <v/>
      </c>
    </row>
    <row r="123">
      <c r="A123" s="43"/>
      <c r="C123" s="17"/>
      <c r="G123" s="17"/>
      <c r="H123" s="22"/>
      <c r="I123" s="20" t="str">
        <f t="shared" si="1"/>
        <v/>
      </c>
      <c r="J123" s="17"/>
      <c r="K123" s="17"/>
      <c r="L123" s="17" t="str">
        <f>IF(K123="","",IFERROR(VLOOKUP(K123,COA!A:B,2,FALSE),"-"))</f>
        <v/>
      </c>
      <c r="M123" s="17"/>
      <c r="N123" s="17" t="str">
        <f>IF(M123="","",IFERROR(VLOOKUP(M123,COA!A:B,2,FALSE),"-"))</f>
        <v/>
      </c>
    </row>
    <row r="124">
      <c r="A124" s="43"/>
      <c r="C124" s="17"/>
      <c r="G124" s="17"/>
      <c r="H124" s="22"/>
      <c r="I124" s="20" t="str">
        <f t="shared" si="1"/>
        <v/>
      </c>
      <c r="J124" s="17"/>
      <c r="K124" s="17"/>
      <c r="L124" s="17" t="str">
        <f>IF(K124="","",IFERROR(VLOOKUP(K124,COA!A:B,2,FALSE),"-"))</f>
        <v/>
      </c>
      <c r="M124" s="17"/>
      <c r="N124" s="17" t="str">
        <f>IF(M124="","",IFERROR(VLOOKUP(M124,COA!A:B,2,FALSE),"-"))</f>
        <v/>
      </c>
    </row>
    <row r="125">
      <c r="A125" s="43"/>
      <c r="C125" s="17"/>
      <c r="G125" s="17"/>
      <c r="H125" s="22"/>
      <c r="I125" s="20" t="str">
        <f t="shared" si="1"/>
        <v/>
      </c>
      <c r="J125" s="17"/>
      <c r="K125" s="17"/>
      <c r="L125" s="17" t="str">
        <f>IF(K125="","",IFERROR(VLOOKUP(K125,COA!A:B,2,FALSE),"-"))</f>
        <v/>
      </c>
      <c r="M125" s="17"/>
      <c r="N125" s="17" t="str">
        <f>IF(M125="","",IFERROR(VLOOKUP(M125,COA!A:B,2,FALSE),"-"))</f>
        <v/>
      </c>
    </row>
    <row r="126">
      <c r="A126" s="43"/>
      <c r="C126" s="17"/>
      <c r="G126" s="17"/>
      <c r="H126" s="22"/>
      <c r="I126" s="20" t="str">
        <f t="shared" si="1"/>
        <v/>
      </c>
      <c r="J126" s="17"/>
      <c r="K126" s="17"/>
      <c r="L126" s="17" t="str">
        <f>IF(K126="","",IFERROR(VLOOKUP(K126,COA!A:B,2,FALSE),"-"))</f>
        <v/>
      </c>
      <c r="M126" s="17"/>
      <c r="N126" s="17" t="str">
        <f>IF(M126="","",IFERROR(VLOOKUP(M126,COA!A:B,2,FALSE),"-"))</f>
        <v/>
      </c>
    </row>
    <row r="127">
      <c r="A127" s="43"/>
      <c r="C127" s="17"/>
      <c r="G127" s="17"/>
      <c r="H127" s="22"/>
      <c r="I127" s="20" t="str">
        <f t="shared" si="1"/>
        <v/>
      </c>
      <c r="J127" s="17"/>
      <c r="K127" s="17"/>
      <c r="L127" s="17" t="str">
        <f>IF(K127="","",IFERROR(VLOOKUP(K127,COA!A:B,2,FALSE),"-"))</f>
        <v/>
      </c>
      <c r="M127" s="17"/>
      <c r="N127" s="17" t="str">
        <f>IF(M127="","",IFERROR(VLOOKUP(M127,COA!A:B,2,FALSE),"-"))</f>
        <v/>
      </c>
    </row>
    <row r="128">
      <c r="A128" s="43"/>
      <c r="C128" s="17"/>
      <c r="G128" s="17"/>
      <c r="H128" s="22"/>
      <c r="I128" s="20" t="str">
        <f t="shared" si="1"/>
        <v/>
      </c>
      <c r="J128" s="17"/>
      <c r="K128" s="17"/>
      <c r="L128" s="17" t="str">
        <f>IF(K128="","",IFERROR(VLOOKUP(K128,COA!A:B,2,FALSE),"-"))</f>
        <v/>
      </c>
      <c r="M128" s="17"/>
      <c r="N128" s="17" t="str">
        <f>IF(M128="","",IFERROR(VLOOKUP(M128,COA!A:B,2,FALSE),"-"))</f>
        <v/>
      </c>
    </row>
    <row r="129">
      <c r="A129" s="43"/>
      <c r="C129" s="17"/>
      <c r="G129" s="17"/>
      <c r="H129" s="22"/>
      <c r="I129" s="20" t="str">
        <f t="shared" si="1"/>
        <v/>
      </c>
      <c r="J129" s="17"/>
      <c r="K129" s="17"/>
      <c r="L129" s="17" t="str">
        <f>IF(K129="","",IFERROR(VLOOKUP(K129,COA!A:B,2,FALSE),"-"))</f>
        <v/>
      </c>
      <c r="M129" s="17"/>
      <c r="N129" s="17" t="str">
        <f>IF(M129="","",IFERROR(VLOOKUP(M129,COA!A:B,2,FALSE),"-"))</f>
        <v/>
      </c>
    </row>
    <row r="130">
      <c r="A130" s="43"/>
      <c r="C130" s="17"/>
      <c r="G130" s="17"/>
      <c r="H130" s="22"/>
      <c r="I130" s="20" t="str">
        <f t="shared" si="1"/>
        <v/>
      </c>
      <c r="J130" s="17"/>
      <c r="K130" s="17"/>
      <c r="L130" s="17" t="str">
        <f>IF(K130="","",IFERROR(VLOOKUP(K130,COA!A:B,2,FALSE),"-"))</f>
        <v/>
      </c>
      <c r="M130" s="17"/>
      <c r="N130" s="17" t="str">
        <f>IF(M130="","",IFERROR(VLOOKUP(M130,COA!A:B,2,FALSE),"-"))</f>
        <v/>
      </c>
    </row>
    <row r="131">
      <c r="A131" s="43"/>
      <c r="C131" s="17"/>
      <c r="G131" s="17"/>
      <c r="H131" s="22"/>
      <c r="I131" s="20" t="str">
        <f t="shared" si="1"/>
        <v/>
      </c>
      <c r="J131" s="17"/>
      <c r="K131" s="17"/>
      <c r="L131" s="17" t="str">
        <f>IF(K131="","",IFERROR(VLOOKUP(K131,COA!A:B,2,FALSE),"-"))</f>
        <v/>
      </c>
      <c r="M131" s="17"/>
      <c r="N131" s="17" t="str">
        <f>IF(M131="","",IFERROR(VLOOKUP(M131,COA!A:B,2,FALSE),"-"))</f>
        <v/>
      </c>
    </row>
    <row r="132">
      <c r="A132" s="43"/>
      <c r="C132" s="17"/>
      <c r="G132" s="17"/>
      <c r="H132" s="22"/>
      <c r="I132" s="20" t="str">
        <f t="shared" si="1"/>
        <v/>
      </c>
      <c r="J132" s="17"/>
      <c r="K132" s="17"/>
      <c r="L132" s="17" t="str">
        <f>IF(K132="","",IFERROR(VLOOKUP(K132,COA!A:B,2,FALSE),"-"))</f>
        <v/>
      </c>
      <c r="M132" s="17"/>
      <c r="N132" s="17" t="str">
        <f>IF(M132="","",IFERROR(VLOOKUP(M132,COA!A:B,2,FALSE),"-"))</f>
        <v/>
      </c>
    </row>
    <row r="133">
      <c r="A133" s="43"/>
      <c r="C133" s="17"/>
      <c r="G133" s="17"/>
      <c r="H133" s="22"/>
      <c r="I133" s="20" t="str">
        <f t="shared" si="1"/>
        <v/>
      </c>
      <c r="J133" s="17"/>
      <c r="K133" s="17"/>
      <c r="L133" s="17" t="str">
        <f>IF(K133="","",IFERROR(VLOOKUP(K133,COA!A:B,2,FALSE),"-"))</f>
        <v/>
      </c>
      <c r="M133" s="17"/>
      <c r="N133" s="17" t="str">
        <f>IF(M133="","",IFERROR(VLOOKUP(M133,COA!A:B,2,FALSE),"-"))</f>
        <v/>
      </c>
    </row>
    <row r="134">
      <c r="A134" s="43"/>
      <c r="C134" s="17"/>
      <c r="G134" s="17"/>
      <c r="H134" s="22"/>
      <c r="I134" s="20" t="str">
        <f t="shared" si="1"/>
        <v/>
      </c>
      <c r="J134" s="17"/>
      <c r="K134" s="17"/>
      <c r="L134" s="17" t="str">
        <f>IF(K134="","",IFERROR(VLOOKUP(K134,COA!A:B,2,FALSE),"-"))</f>
        <v/>
      </c>
      <c r="M134" s="17"/>
      <c r="N134" s="17" t="str">
        <f>IF(M134="","",IFERROR(VLOOKUP(M134,COA!A:B,2,FALSE),"-"))</f>
        <v/>
      </c>
    </row>
    <row r="135">
      <c r="A135" s="43"/>
      <c r="C135" s="17"/>
      <c r="G135" s="17"/>
      <c r="H135" s="22"/>
      <c r="I135" s="20" t="str">
        <f t="shared" si="1"/>
        <v/>
      </c>
      <c r="J135" s="17"/>
      <c r="K135" s="17"/>
      <c r="L135" s="17" t="str">
        <f>IF(K135="","",IFERROR(VLOOKUP(K135,COA!A:B,2,FALSE),"-"))</f>
        <v/>
      </c>
      <c r="M135" s="17"/>
      <c r="N135" s="17" t="str">
        <f>IF(M135="","",IFERROR(VLOOKUP(M135,COA!A:B,2,FALSE),"-"))</f>
        <v/>
      </c>
    </row>
    <row r="136">
      <c r="A136" s="43"/>
      <c r="C136" s="17"/>
      <c r="G136" s="17"/>
      <c r="H136" s="22"/>
      <c r="I136" s="20" t="str">
        <f t="shared" si="1"/>
        <v/>
      </c>
      <c r="J136" s="17"/>
      <c r="K136" s="17"/>
      <c r="L136" s="17" t="str">
        <f>IF(K136="","",IFERROR(VLOOKUP(K136,COA!A:B,2,FALSE),"-"))</f>
        <v/>
      </c>
      <c r="M136" s="17"/>
      <c r="N136" s="17" t="str">
        <f>IF(M136="","",IFERROR(VLOOKUP(M136,COA!A:B,2,FALSE),"-"))</f>
        <v/>
      </c>
    </row>
    <row r="137">
      <c r="A137" s="43"/>
      <c r="C137" s="17"/>
      <c r="G137" s="17"/>
      <c r="H137" s="22"/>
      <c r="I137" s="20" t="str">
        <f t="shared" si="1"/>
        <v/>
      </c>
      <c r="J137" s="17"/>
      <c r="K137" s="17"/>
      <c r="L137" s="17" t="str">
        <f>IF(K137="","",IFERROR(VLOOKUP(K137,COA!A:B,2,FALSE),"-"))</f>
        <v/>
      </c>
      <c r="M137" s="17"/>
      <c r="N137" s="17" t="str">
        <f>IF(M137="","",IFERROR(VLOOKUP(M137,COA!A:B,2,FALSE),"-"))</f>
        <v/>
      </c>
    </row>
    <row r="138">
      <c r="A138" s="43"/>
      <c r="C138" s="17"/>
      <c r="G138" s="17"/>
      <c r="H138" s="22"/>
      <c r="I138" s="20" t="str">
        <f t="shared" si="1"/>
        <v/>
      </c>
      <c r="J138" s="17"/>
      <c r="K138" s="17"/>
      <c r="L138" s="17" t="str">
        <f>IF(K138="","",IFERROR(VLOOKUP(K138,COA!A:B,2,FALSE),"-"))</f>
        <v/>
      </c>
      <c r="M138" s="17"/>
      <c r="N138" s="17" t="str">
        <f>IF(M138="","",IFERROR(VLOOKUP(M138,COA!A:B,2,FALSE),"-"))</f>
        <v/>
      </c>
    </row>
    <row r="139">
      <c r="A139" s="43"/>
      <c r="C139" s="17"/>
      <c r="G139" s="17"/>
      <c r="H139" s="22"/>
      <c r="I139" s="20" t="str">
        <f t="shared" si="1"/>
        <v/>
      </c>
      <c r="J139" s="17"/>
      <c r="K139" s="17"/>
      <c r="L139" s="17" t="str">
        <f>IF(K139="","",IFERROR(VLOOKUP(K139,COA!A:B,2,FALSE),"-"))</f>
        <v/>
      </c>
      <c r="M139" s="17"/>
      <c r="N139" s="17" t="str">
        <f>IF(M139="","",IFERROR(VLOOKUP(M139,COA!A:B,2,FALSE),"-"))</f>
        <v/>
      </c>
    </row>
    <row r="140">
      <c r="A140" s="43"/>
      <c r="C140" s="17"/>
      <c r="G140" s="17"/>
      <c r="H140" s="22"/>
      <c r="I140" s="20" t="str">
        <f t="shared" si="1"/>
        <v/>
      </c>
      <c r="J140" s="17"/>
      <c r="K140" s="17"/>
      <c r="L140" s="17" t="str">
        <f>IF(K140="","",IFERROR(VLOOKUP(K140,COA!A:B,2,FALSE),"-"))</f>
        <v/>
      </c>
      <c r="M140" s="17"/>
      <c r="N140" s="17" t="str">
        <f>IF(M140="","",IFERROR(VLOOKUP(M140,COA!A:B,2,FALSE),"-"))</f>
        <v/>
      </c>
    </row>
    <row r="141">
      <c r="A141" s="43"/>
      <c r="C141" s="17"/>
      <c r="G141" s="17"/>
      <c r="H141" s="22"/>
      <c r="I141" s="20" t="str">
        <f t="shared" si="1"/>
        <v/>
      </c>
      <c r="J141" s="17"/>
      <c r="K141" s="17"/>
      <c r="L141" s="17" t="str">
        <f>IF(K141="","",IFERROR(VLOOKUP(K141,COA!A:B,2,FALSE),"-"))</f>
        <v/>
      </c>
      <c r="M141" s="17"/>
      <c r="N141" s="17" t="str">
        <f>IF(M141="","",IFERROR(VLOOKUP(M141,COA!A:B,2,FALSE),"-"))</f>
        <v/>
      </c>
    </row>
    <row r="142">
      <c r="A142" s="43"/>
      <c r="C142" s="17"/>
      <c r="G142" s="17"/>
      <c r="H142" s="22"/>
      <c r="I142" s="20" t="str">
        <f t="shared" si="1"/>
        <v/>
      </c>
      <c r="J142" s="17"/>
      <c r="K142" s="17"/>
      <c r="L142" s="17" t="str">
        <f>IF(K142="","",IFERROR(VLOOKUP(K142,COA!A:B,2,FALSE),"-"))</f>
        <v/>
      </c>
      <c r="M142" s="17"/>
      <c r="N142" s="17" t="str">
        <f>IF(M142="","",IFERROR(VLOOKUP(M142,COA!A:B,2,FALSE),"-"))</f>
        <v/>
      </c>
    </row>
    <row r="143">
      <c r="A143" s="43"/>
      <c r="C143" s="17"/>
      <c r="G143" s="17"/>
      <c r="H143" s="22"/>
      <c r="I143" s="20" t="str">
        <f t="shared" si="1"/>
        <v/>
      </c>
      <c r="J143" s="17"/>
      <c r="K143" s="17"/>
      <c r="L143" s="17" t="str">
        <f>IF(K143="","",IFERROR(VLOOKUP(K143,COA!A:B,2,FALSE),"-"))</f>
        <v/>
      </c>
      <c r="M143" s="17"/>
      <c r="N143" s="17" t="str">
        <f>IF(M143="","",IFERROR(VLOOKUP(M143,COA!A:B,2,FALSE),"-"))</f>
        <v/>
      </c>
    </row>
    <row r="144">
      <c r="A144" s="43"/>
      <c r="C144" s="17"/>
      <c r="G144" s="17"/>
      <c r="H144" s="22"/>
      <c r="I144" s="20" t="str">
        <f t="shared" si="1"/>
        <v/>
      </c>
      <c r="J144" s="17"/>
      <c r="K144" s="17"/>
      <c r="L144" s="17" t="str">
        <f>IF(K144="","",IFERROR(VLOOKUP(K144,COA!A:B,2,FALSE),"-"))</f>
        <v/>
      </c>
      <c r="M144" s="17"/>
      <c r="N144" s="17" t="str">
        <f>IF(M144="","",IFERROR(VLOOKUP(M144,COA!A:B,2,FALSE),"-"))</f>
        <v/>
      </c>
    </row>
    <row r="145">
      <c r="A145" s="43"/>
      <c r="C145" s="17"/>
      <c r="G145" s="17"/>
      <c r="H145" s="22"/>
      <c r="I145" s="20" t="str">
        <f t="shared" si="1"/>
        <v/>
      </c>
      <c r="J145" s="17"/>
      <c r="K145" s="17"/>
      <c r="L145" s="17" t="str">
        <f>IF(K145="","",IFERROR(VLOOKUP(K145,COA!A:B,2,FALSE),"-"))</f>
        <v/>
      </c>
      <c r="M145" s="17"/>
      <c r="N145" s="17" t="str">
        <f>IF(M145="","",IFERROR(VLOOKUP(M145,COA!A:B,2,FALSE),"-"))</f>
        <v/>
      </c>
    </row>
    <row r="146">
      <c r="A146" s="43"/>
      <c r="C146" s="17"/>
      <c r="G146" s="17"/>
      <c r="H146" s="22"/>
      <c r="I146" s="20" t="str">
        <f t="shared" si="1"/>
        <v/>
      </c>
      <c r="J146" s="17"/>
      <c r="K146" s="17"/>
      <c r="L146" s="17" t="str">
        <f>IF(K146="","",IFERROR(VLOOKUP(K146,COA!A:B,2,FALSE),"-"))</f>
        <v/>
      </c>
      <c r="M146" s="17"/>
      <c r="N146" s="17" t="str">
        <f>IF(M146="","",IFERROR(VLOOKUP(M146,COA!A:B,2,FALSE),"-"))</f>
        <v/>
      </c>
    </row>
    <row r="147">
      <c r="A147" s="43"/>
      <c r="C147" s="17"/>
      <c r="G147" s="17"/>
      <c r="H147" s="22"/>
      <c r="I147" s="20" t="str">
        <f t="shared" si="1"/>
        <v/>
      </c>
      <c r="J147" s="17"/>
      <c r="K147" s="17"/>
      <c r="L147" s="17" t="str">
        <f>IF(K147="","",IFERROR(VLOOKUP(K147,COA!A:B,2,FALSE),"-"))</f>
        <v/>
      </c>
      <c r="M147" s="17"/>
      <c r="N147" s="17" t="str">
        <f>IF(M147="","",IFERROR(VLOOKUP(M147,COA!A:B,2,FALSE),"-"))</f>
        <v/>
      </c>
    </row>
    <row r="148">
      <c r="A148" s="43"/>
      <c r="C148" s="17"/>
      <c r="G148" s="17"/>
      <c r="H148" s="22"/>
      <c r="I148" s="20" t="str">
        <f t="shared" si="1"/>
        <v/>
      </c>
      <c r="J148" s="17"/>
      <c r="K148" s="17"/>
      <c r="L148" s="17" t="str">
        <f>IF(K148="","",IFERROR(VLOOKUP(K148,COA!A:B,2,FALSE),"-"))</f>
        <v/>
      </c>
      <c r="M148" s="17"/>
      <c r="N148" s="17" t="str">
        <f>IF(M148="","",IFERROR(VLOOKUP(M148,COA!A:B,2,FALSE),"-"))</f>
        <v/>
      </c>
    </row>
    <row r="149">
      <c r="A149" s="43"/>
      <c r="C149" s="17"/>
      <c r="G149" s="17"/>
      <c r="H149" s="22"/>
      <c r="I149" s="20" t="str">
        <f t="shared" si="1"/>
        <v/>
      </c>
      <c r="J149" s="17"/>
      <c r="K149" s="17"/>
      <c r="L149" s="17" t="str">
        <f>IF(K149="","",IFERROR(VLOOKUP(K149,COA!A:B,2,FALSE),"-"))</f>
        <v/>
      </c>
      <c r="M149" s="17"/>
      <c r="N149" s="17" t="str">
        <f>IF(M149="","",IFERROR(VLOOKUP(M149,COA!A:B,2,FALSE),"-"))</f>
        <v/>
      </c>
    </row>
    <row r="150">
      <c r="A150" s="43"/>
      <c r="C150" s="17"/>
      <c r="G150" s="17"/>
      <c r="H150" s="22"/>
      <c r="I150" s="20" t="str">
        <f t="shared" si="1"/>
        <v/>
      </c>
      <c r="J150" s="17"/>
      <c r="K150" s="17"/>
      <c r="L150" s="17" t="str">
        <f>IF(K150="","",IFERROR(VLOOKUP(K150,COA!A:B,2,FALSE),"-"))</f>
        <v/>
      </c>
      <c r="M150" s="17"/>
      <c r="N150" s="17" t="str">
        <f>IF(M150="","",IFERROR(VLOOKUP(M150,COA!A:B,2,FALSE),"-"))</f>
        <v/>
      </c>
    </row>
    <row r="151">
      <c r="A151" s="43"/>
      <c r="C151" s="17"/>
      <c r="G151" s="17"/>
      <c r="H151" s="22"/>
      <c r="I151" s="20" t="str">
        <f t="shared" si="1"/>
        <v/>
      </c>
      <c r="J151" s="17"/>
      <c r="K151" s="17"/>
      <c r="L151" s="17" t="str">
        <f>IF(K151="","",IFERROR(VLOOKUP(K151,COA!A:B,2,FALSE),"-"))</f>
        <v/>
      </c>
      <c r="M151" s="17"/>
      <c r="N151" s="17" t="str">
        <f>IF(M151="","",IFERROR(VLOOKUP(M151,COA!A:B,2,FALSE),"-"))</f>
        <v/>
      </c>
    </row>
    <row r="152">
      <c r="A152" s="43"/>
      <c r="C152" s="17"/>
      <c r="G152" s="17"/>
      <c r="H152" s="22"/>
      <c r="I152" s="20" t="str">
        <f t="shared" si="1"/>
        <v/>
      </c>
      <c r="J152" s="17"/>
      <c r="K152" s="17"/>
      <c r="L152" s="17" t="str">
        <f>IF(K152="","",IFERROR(VLOOKUP(K152,COA!A:B,2,FALSE),"-"))</f>
        <v/>
      </c>
      <c r="M152" s="17"/>
      <c r="N152" s="17" t="str">
        <f>IF(M152="","",IFERROR(VLOOKUP(M152,COA!A:B,2,FALSE),"-"))</f>
        <v/>
      </c>
    </row>
    <row r="153">
      <c r="A153" s="43"/>
      <c r="C153" s="17"/>
      <c r="G153" s="17"/>
      <c r="H153" s="22"/>
      <c r="I153" s="20" t="str">
        <f t="shared" si="1"/>
        <v/>
      </c>
      <c r="J153" s="17"/>
      <c r="K153" s="17"/>
      <c r="L153" s="17" t="str">
        <f>IF(K153="","",IFERROR(VLOOKUP(K153,COA!A:B,2,FALSE),"-"))</f>
        <v/>
      </c>
      <c r="M153" s="17"/>
      <c r="N153" s="17" t="str">
        <f>IF(M153="","",IFERROR(VLOOKUP(M153,COA!A:B,2,FALSE),"-"))</f>
        <v/>
      </c>
    </row>
    <row r="154">
      <c r="A154" s="43"/>
      <c r="C154" s="17"/>
      <c r="G154" s="17"/>
      <c r="H154" s="22"/>
      <c r="I154" s="20" t="str">
        <f t="shared" si="1"/>
        <v/>
      </c>
      <c r="J154" s="17"/>
      <c r="K154" s="17"/>
      <c r="L154" s="17" t="str">
        <f>IF(K154="","",IFERROR(VLOOKUP(K154,COA!A:B,2,FALSE),"-"))</f>
        <v/>
      </c>
      <c r="M154" s="17"/>
      <c r="N154" s="17" t="str">
        <f>IF(M154="","",IFERROR(VLOOKUP(M154,COA!A:B,2,FALSE),"-"))</f>
        <v/>
      </c>
    </row>
    <row r="155">
      <c r="A155" s="43"/>
      <c r="C155" s="17"/>
      <c r="G155" s="17"/>
      <c r="H155" s="22"/>
      <c r="I155" s="20" t="str">
        <f t="shared" si="1"/>
        <v/>
      </c>
      <c r="J155" s="17"/>
      <c r="K155" s="17"/>
      <c r="L155" s="17" t="str">
        <f>IF(K155="","",IFERROR(VLOOKUP(K155,COA!A:B,2,FALSE),"-"))</f>
        <v/>
      </c>
      <c r="M155" s="17"/>
      <c r="N155" s="17" t="str">
        <f>IF(M155="","",IFERROR(VLOOKUP(M155,COA!A:B,2,FALSE),"-"))</f>
        <v/>
      </c>
    </row>
    <row r="156">
      <c r="A156" s="43"/>
      <c r="C156" s="17"/>
      <c r="G156" s="17"/>
      <c r="H156" s="22"/>
      <c r="I156" s="20" t="str">
        <f t="shared" si="1"/>
        <v/>
      </c>
      <c r="J156" s="17"/>
      <c r="K156" s="17"/>
      <c r="L156" s="17" t="str">
        <f>IF(K156="","",IFERROR(VLOOKUP(K156,COA!A:B,2,FALSE),"-"))</f>
        <v/>
      </c>
      <c r="M156" s="17"/>
      <c r="N156" s="17" t="str">
        <f>IF(M156="","",IFERROR(VLOOKUP(M156,COA!A:B,2,FALSE),"-"))</f>
        <v/>
      </c>
    </row>
    <row r="157">
      <c r="A157" s="43"/>
      <c r="C157" s="17"/>
      <c r="G157" s="17"/>
      <c r="H157" s="22"/>
      <c r="I157" s="20" t="str">
        <f t="shared" si="1"/>
        <v/>
      </c>
      <c r="J157" s="17"/>
      <c r="K157" s="17"/>
      <c r="L157" s="17" t="str">
        <f>IF(K157="","",IFERROR(VLOOKUP(K157,COA!A:B,2,FALSE),"-"))</f>
        <v/>
      </c>
      <c r="M157" s="17"/>
      <c r="N157" s="17" t="str">
        <f>IF(M157="","",IFERROR(VLOOKUP(M157,COA!A:B,2,FALSE),"-"))</f>
        <v/>
      </c>
    </row>
    <row r="158">
      <c r="A158" s="43"/>
      <c r="C158" s="17"/>
      <c r="G158" s="17"/>
      <c r="H158" s="22"/>
      <c r="I158" s="20" t="str">
        <f t="shared" si="1"/>
        <v/>
      </c>
      <c r="J158" s="17"/>
      <c r="K158" s="17"/>
      <c r="L158" s="17" t="str">
        <f>IF(K158="","",IFERROR(VLOOKUP(K158,COA!A:B,2,FALSE),"-"))</f>
        <v/>
      </c>
      <c r="M158" s="17"/>
      <c r="N158" s="17" t="str">
        <f>IF(M158="","",IFERROR(VLOOKUP(M158,COA!A:B,2,FALSE),"-"))</f>
        <v/>
      </c>
    </row>
    <row r="159">
      <c r="A159" s="43"/>
      <c r="C159" s="17"/>
      <c r="G159" s="17"/>
      <c r="H159" s="22"/>
      <c r="I159" s="20" t="str">
        <f t="shared" si="1"/>
        <v/>
      </c>
      <c r="J159" s="17"/>
      <c r="K159" s="17"/>
      <c r="L159" s="17" t="str">
        <f>IF(K159="","",IFERROR(VLOOKUP(K159,COA!A:B,2,FALSE),"-"))</f>
        <v/>
      </c>
      <c r="M159" s="17"/>
      <c r="N159" s="17" t="str">
        <f>IF(M159="","",IFERROR(VLOOKUP(M159,COA!A:B,2,FALSE),"-"))</f>
        <v/>
      </c>
    </row>
    <row r="160">
      <c r="A160" s="43"/>
      <c r="C160" s="17"/>
      <c r="G160" s="17"/>
      <c r="H160" s="22"/>
      <c r="I160" s="20" t="str">
        <f t="shared" si="1"/>
        <v/>
      </c>
      <c r="J160" s="17"/>
      <c r="K160" s="17"/>
      <c r="L160" s="17" t="str">
        <f>IF(K160="","",IFERROR(VLOOKUP(K160,COA!A:B,2,FALSE),"-"))</f>
        <v/>
      </c>
      <c r="M160" s="17"/>
      <c r="N160" s="17" t="str">
        <f>IF(M160="","",IFERROR(VLOOKUP(M160,COA!A:B,2,FALSE),"-"))</f>
        <v/>
      </c>
    </row>
    <row r="161">
      <c r="A161" s="43"/>
      <c r="C161" s="17"/>
      <c r="G161" s="17"/>
      <c r="H161" s="22"/>
      <c r="I161" s="20" t="str">
        <f t="shared" si="1"/>
        <v/>
      </c>
      <c r="J161" s="17"/>
      <c r="K161" s="17"/>
      <c r="L161" s="17" t="str">
        <f>IF(K161="","",IFERROR(VLOOKUP(K161,COA!A:B,2,FALSE),"-"))</f>
        <v/>
      </c>
      <c r="M161" s="17"/>
      <c r="N161" s="17" t="str">
        <f>IF(M161="","",IFERROR(VLOOKUP(M161,COA!A:B,2,FALSE),"-"))</f>
        <v/>
      </c>
    </row>
    <row r="162">
      <c r="A162" s="43"/>
      <c r="C162" s="17"/>
      <c r="G162" s="17"/>
      <c r="H162" s="22"/>
      <c r="I162" s="20" t="str">
        <f t="shared" si="1"/>
        <v/>
      </c>
      <c r="J162" s="17"/>
      <c r="K162" s="17"/>
      <c r="L162" s="17" t="str">
        <f>IF(K162="","",IFERROR(VLOOKUP(K162,COA!A:B,2,FALSE),"-"))</f>
        <v/>
      </c>
      <c r="M162" s="17"/>
      <c r="N162" s="17" t="str">
        <f>IF(M162="","",IFERROR(VLOOKUP(M162,COA!A:B,2,FALSE),"-"))</f>
        <v/>
      </c>
    </row>
    <row r="163">
      <c r="A163" s="43"/>
      <c r="C163" s="17"/>
      <c r="G163" s="17"/>
      <c r="H163" s="22"/>
      <c r="I163" s="20" t="str">
        <f t="shared" si="1"/>
        <v/>
      </c>
      <c r="J163" s="17"/>
      <c r="K163" s="17"/>
      <c r="L163" s="17" t="str">
        <f>IF(K163="","",IFERROR(VLOOKUP(K163,COA!A:B,2,FALSE),"-"))</f>
        <v/>
      </c>
      <c r="M163" s="17"/>
      <c r="N163" s="17" t="str">
        <f>IF(M163="","",IFERROR(VLOOKUP(M163,COA!A:B,2,FALSE),"-"))</f>
        <v/>
      </c>
    </row>
    <row r="164">
      <c r="A164" s="43"/>
      <c r="C164" s="17"/>
      <c r="G164" s="17"/>
      <c r="H164" s="22"/>
      <c r="I164" s="20" t="str">
        <f t="shared" si="1"/>
        <v/>
      </c>
      <c r="J164" s="17"/>
      <c r="K164" s="17"/>
      <c r="L164" s="17" t="str">
        <f>IF(K164="","",IFERROR(VLOOKUP(K164,COA!A:B,2,FALSE),"-"))</f>
        <v/>
      </c>
      <c r="M164" s="17"/>
      <c r="N164" s="17" t="str">
        <f>IF(M164="","",IFERROR(VLOOKUP(M164,COA!A:B,2,FALSE),"-"))</f>
        <v/>
      </c>
    </row>
    <row r="165">
      <c r="A165" s="43"/>
      <c r="C165" s="17"/>
      <c r="G165" s="17"/>
      <c r="H165" s="22"/>
      <c r="I165" s="20" t="str">
        <f t="shared" si="1"/>
        <v/>
      </c>
      <c r="J165" s="17"/>
      <c r="K165" s="17"/>
      <c r="L165" s="17" t="str">
        <f>IF(K165="","",IFERROR(VLOOKUP(K165,COA!A:B,2,FALSE),"-"))</f>
        <v/>
      </c>
      <c r="M165" s="17"/>
      <c r="N165" s="17" t="str">
        <f>IF(M165="","",IFERROR(VLOOKUP(M165,COA!A:B,2,FALSE),"-"))</f>
        <v/>
      </c>
    </row>
    <row r="166">
      <c r="A166" s="43"/>
      <c r="C166" s="17"/>
      <c r="G166" s="17"/>
      <c r="H166" s="22"/>
      <c r="I166" s="20" t="str">
        <f t="shared" si="1"/>
        <v/>
      </c>
      <c r="J166" s="17"/>
      <c r="K166" s="17"/>
      <c r="L166" s="17" t="str">
        <f>IF(K166="","",IFERROR(VLOOKUP(K166,COA!A:B,2,FALSE),"-"))</f>
        <v/>
      </c>
      <c r="M166" s="17"/>
      <c r="N166" s="17" t="str">
        <f>IF(M166="","",IFERROR(VLOOKUP(M166,COA!A:B,2,FALSE),"-"))</f>
        <v/>
      </c>
    </row>
    <row r="167">
      <c r="A167" s="43"/>
      <c r="C167" s="17"/>
      <c r="G167" s="17"/>
      <c r="H167" s="22"/>
      <c r="I167" s="20" t="str">
        <f t="shared" si="1"/>
        <v/>
      </c>
      <c r="J167" s="17"/>
      <c r="K167" s="17"/>
      <c r="L167" s="17" t="str">
        <f>IF(K167="","",IFERROR(VLOOKUP(K167,COA!A:B,2,FALSE),"-"))</f>
        <v/>
      </c>
      <c r="M167" s="17"/>
      <c r="N167" s="17" t="str">
        <f>IF(M167="","",IFERROR(VLOOKUP(M167,COA!A:B,2,FALSE),"-"))</f>
        <v/>
      </c>
    </row>
    <row r="168">
      <c r="A168" s="43"/>
      <c r="C168" s="17"/>
      <c r="G168" s="17"/>
      <c r="H168" s="22"/>
      <c r="I168" s="20" t="str">
        <f t="shared" si="1"/>
        <v/>
      </c>
      <c r="J168" s="17"/>
      <c r="K168" s="17"/>
      <c r="L168" s="17" t="str">
        <f>IF(K168="","",IFERROR(VLOOKUP(K168,COA!A:B,2,FALSE),"-"))</f>
        <v/>
      </c>
      <c r="M168" s="17"/>
      <c r="N168" s="17" t="str">
        <f>IF(M168="","",IFERROR(VLOOKUP(M168,COA!A:B,2,FALSE),"-"))</f>
        <v/>
      </c>
    </row>
    <row r="169">
      <c r="A169" s="43"/>
      <c r="C169" s="17"/>
      <c r="G169" s="17"/>
      <c r="H169" s="22"/>
      <c r="I169" s="20" t="str">
        <f t="shared" si="1"/>
        <v/>
      </c>
      <c r="J169" s="17"/>
      <c r="K169" s="17"/>
      <c r="L169" s="17" t="str">
        <f>IF(K169="","",IFERROR(VLOOKUP(K169,COA!A:B,2,FALSE),"-"))</f>
        <v/>
      </c>
      <c r="M169" s="17"/>
      <c r="N169" s="17" t="str">
        <f>IF(M169="","",IFERROR(VLOOKUP(M169,COA!A:B,2,FALSE),"-"))</f>
        <v/>
      </c>
    </row>
    <row r="170">
      <c r="A170" s="43"/>
      <c r="C170" s="17"/>
      <c r="G170" s="17"/>
      <c r="H170" s="22"/>
      <c r="I170" s="20" t="str">
        <f t="shared" si="1"/>
        <v/>
      </c>
      <c r="J170" s="17"/>
      <c r="K170" s="17"/>
      <c r="L170" s="17" t="str">
        <f>IF(K170="","",IFERROR(VLOOKUP(K170,COA!A:B,2,FALSE),"-"))</f>
        <v/>
      </c>
      <c r="M170" s="17"/>
      <c r="N170" s="17" t="str">
        <f>IF(M170="","",IFERROR(VLOOKUP(M170,COA!A:B,2,FALSE),"-"))</f>
        <v/>
      </c>
    </row>
    <row r="171">
      <c r="A171" s="43"/>
      <c r="C171" s="17"/>
      <c r="G171" s="17"/>
      <c r="H171" s="22"/>
      <c r="I171" s="20" t="str">
        <f t="shared" si="1"/>
        <v/>
      </c>
      <c r="J171" s="17"/>
      <c r="K171" s="17"/>
      <c r="L171" s="17" t="str">
        <f>IF(K171="","",IFERROR(VLOOKUP(K171,COA!A:B,2,FALSE),"-"))</f>
        <v/>
      </c>
      <c r="M171" s="17"/>
      <c r="N171" s="17" t="str">
        <f>IF(M171="","",IFERROR(VLOOKUP(M171,COA!A:B,2,FALSE),"-"))</f>
        <v/>
      </c>
    </row>
    <row r="172">
      <c r="A172" s="43"/>
      <c r="C172" s="17"/>
      <c r="G172" s="17"/>
      <c r="H172" s="22"/>
      <c r="I172" s="20" t="str">
        <f t="shared" si="1"/>
        <v/>
      </c>
      <c r="J172" s="17"/>
      <c r="K172" s="17"/>
      <c r="L172" s="17" t="str">
        <f>IF(K172="","",IFERROR(VLOOKUP(K172,COA!A:B,2,FALSE),"-"))</f>
        <v/>
      </c>
      <c r="M172" s="17"/>
      <c r="N172" s="17" t="str">
        <f>IF(M172="","",IFERROR(VLOOKUP(M172,COA!A:B,2,FALSE),"-"))</f>
        <v/>
      </c>
    </row>
    <row r="173">
      <c r="A173" s="43"/>
      <c r="C173" s="17"/>
      <c r="G173" s="17"/>
      <c r="H173" s="22"/>
      <c r="I173" s="20" t="str">
        <f t="shared" si="1"/>
        <v/>
      </c>
      <c r="J173" s="17"/>
      <c r="K173" s="17"/>
      <c r="L173" s="17" t="str">
        <f>IF(K173="","",IFERROR(VLOOKUP(K173,COA!A:B,2,FALSE),"-"))</f>
        <v/>
      </c>
      <c r="M173" s="17"/>
      <c r="N173" s="17" t="str">
        <f>IF(M173="","",IFERROR(VLOOKUP(M173,COA!A:B,2,FALSE),"-"))</f>
        <v/>
      </c>
    </row>
    <row r="174">
      <c r="A174" s="43"/>
      <c r="C174" s="17"/>
      <c r="G174" s="17"/>
      <c r="H174" s="22"/>
      <c r="I174" s="20" t="str">
        <f t="shared" si="1"/>
        <v/>
      </c>
      <c r="J174" s="17"/>
      <c r="K174" s="17"/>
      <c r="L174" s="17" t="str">
        <f>IF(K174="","",IFERROR(VLOOKUP(K174,COA!A:B,2,FALSE),"-"))</f>
        <v/>
      </c>
      <c r="M174" s="17"/>
      <c r="N174" s="17" t="str">
        <f>IF(M174="","",IFERROR(VLOOKUP(M174,COA!A:B,2,FALSE),"-"))</f>
        <v/>
      </c>
    </row>
    <row r="175">
      <c r="A175" s="43"/>
      <c r="C175" s="17"/>
      <c r="G175" s="17"/>
      <c r="H175" s="22"/>
      <c r="I175" s="20" t="str">
        <f t="shared" si="1"/>
        <v/>
      </c>
      <c r="J175" s="17"/>
      <c r="K175" s="17"/>
      <c r="L175" s="17" t="str">
        <f>IF(K175="","",IFERROR(VLOOKUP(K175,COA!A:B,2,FALSE),"-"))</f>
        <v/>
      </c>
      <c r="M175" s="17"/>
      <c r="N175" s="17" t="str">
        <f>IF(M175="","",IFERROR(VLOOKUP(M175,COA!A:B,2,FALSE),"-"))</f>
        <v/>
      </c>
    </row>
    <row r="176">
      <c r="A176" s="43"/>
      <c r="C176" s="17"/>
      <c r="G176" s="17"/>
      <c r="H176" s="22"/>
      <c r="I176" s="20" t="str">
        <f t="shared" si="1"/>
        <v/>
      </c>
      <c r="J176" s="17"/>
      <c r="K176" s="17"/>
      <c r="L176" s="17" t="str">
        <f>IF(K176="","",IFERROR(VLOOKUP(K176,COA!A:B,2,FALSE),"-"))</f>
        <v/>
      </c>
      <c r="M176" s="17"/>
      <c r="N176" s="17" t="str">
        <f>IF(M176="","",IFERROR(VLOOKUP(M176,COA!A:B,2,FALSE),"-"))</f>
        <v/>
      </c>
    </row>
    <row r="177">
      <c r="A177" s="43"/>
      <c r="C177" s="17"/>
      <c r="G177" s="17"/>
      <c r="H177" s="22"/>
      <c r="I177" s="20" t="str">
        <f t="shared" si="1"/>
        <v/>
      </c>
      <c r="J177" s="17"/>
      <c r="K177" s="17"/>
      <c r="L177" s="17" t="str">
        <f>IF(K177="","",IFERROR(VLOOKUP(K177,COA!A:B,2,FALSE),"-"))</f>
        <v/>
      </c>
      <c r="M177" s="17"/>
      <c r="N177" s="17" t="str">
        <f>IF(M177="","",IFERROR(VLOOKUP(M177,COA!A:B,2,FALSE),"-"))</f>
        <v/>
      </c>
    </row>
    <row r="178">
      <c r="A178" s="43"/>
      <c r="C178" s="17"/>
      <c r="G178" s="17"/>
      <c r="H178" s="22"/>
      <c r="I178" s="20" t="str">
        <f t="shared" si="1"/>
        <v/>
      </c>
      <c r="J178" s="17"/>
      <c r="K178" s="17"/>
      <c r="L178" s="17" t="str">
        <f>IF(K178="","",IFERROR(VLOOKUP(K178,COA!A:B,2,FALSE),"-"))</f>
        <v/>
      </c>
      <c r="M178" s="17"/>
      <c r="N178" s="17" t="str">
        <f>IF(M178="","",IFERROR(VLOOKUP(M178,COA!A:B,2,FALSE),"-"))</f>
        <v/>
      </c>
    </row>
    <row r="179">
      <c r="A179" s="43"/>
      <c r="C179" s="17"/>
      <c r="G179" s="17"/>
      <c r="H179" s="22"/>
      <c r="I179" s="20" t="str">
        <f t="shared" si="1"/>
        <v/>
      </c>
      <c r="J179" s="17"/>
      <c r="K179" s="17"/>
      <c r="L179" s="17" t="str">
        <f>IF(K179="","",IFERROR(VLOOKUP(K179,COA!A:B,2,FALSE),"-"))</f>
        <v/>
      </c>
      <c r="M179" s="17"/>
      <c r="N179" s="17" t="str">
        <f>IF(M179="","",IFERROR(VLOOKUP(M179,COA!A:B,2,FALSE),"-"))</f>
        <v/>
      </c>
    </row>
    <row r="180">
      <c r="A180" s="43"/>
      <c r="C180" s="17"/>
      <c r="G180" s="17"/>
      <c r="H180" s="22"/>
      <c r="I180" s="20" t="str">
        <f t="shared" si="1"/>
        <v/>
      </c>
      <c r="J180" s="17"/>
      <c r="K180" s="17"/>
      <c r="L180" s="17" t="str">
        <f>IF(K180="","",IFERROR(VLOOKUP(K180,COA!A:B,2,FALSE),"-"))</f>
        <v/>
      </c>
      <c r="M180" s="17"/>
      <c r="N180" s="17" t="str">
        <f>IF(M180="","",IFERROR(VLOOKUP(M180,COA!A:B,2,FALSE),"-"))</f>
        <v/>
      </c>
    </row>
    <row r="181">
      <c r="A181" s="43"/>
      <c r="C181" s="17"/>
      <c r="G181" s="17"/>
      <c r="H181" s="22"/>
      <c r="I181" s="20" t="str">
        <f t="shared" si="1"/>
        <v/>
      </c>
      <c r="J181" s="17"/>
      <c r="K181" s="17"/>
      <c r="L181" s="17" t="str">
        <f>IF(K181="","",IFERROR(VLOOKUP(K181,COA!A:B,2,FALSE),"-"))</f>
        <v/>
      </c>
      <c r="M181" s="17"/>
      <c r="N181" s="17" t="str">
        <f>IF(M181="","",IFERROR(VLOOKUP(M181,COA!A:B,2,FALSE),"-"))</f>
        <v/>
      </c>
    </row>
    <row r="182">
      <c r="A182" s="43"/>
      <c r="C182" s="17"/>
      <c r="G182" s="17"/>
      <c r="H182" s="22"/>
      <c r="I182" s="20" t="str">
        <f t="shared" si="1"/>
        <v/>
      </c>
      <c r="J182" s="17"/>
      <c r="K182" s="17"/>
      <c r="L182" s="17" t="str">
        <f>IF(K182="","",IFERROR(VLOOKUP(K182,COA!A:B,2,FALSE),"-"))</f>
        <v/>
      </c>
      <c r="M182" s="17"/>
      <c r="N182" s="17" t="str">
        <f>IF(M182="","",IFERROR(VLOOKUP(M182,COA!A:B,2,FALSE),"-"))</f>
        <v/>
      </c>
    </row>
    <row r="183">
      <c r="A183" s="43"/>
      <c r="C183" s="17"/>
      <c r="G183" s="17"/>
      <c r="H183" s="22"/>
      <c r="I183" s="20" t="str">
        <f t="shared" si="1"/>
        <v/>
      </c>
      <c r="J183" s="17"/>
      <c r="K183" s="17"/>
      <c r="L183" s="17" t="str">
        <f>IF(K183="","",IFERROR(VLOOKUP(K183,COA!A:B,2,FALSE),"-"))</f>
        <v/>
      </c>
      <c r="M183" s="17"/>
      <c r="N183" s="17" t="str">
        <f>IF(M183="","",IFERROR(VLOOKUP(M183,COA!A:B,2,FALSE),"-"))</f>
        <v/>
      </c>
    </row>
    <row r="184">
      <c r="A184" s="43"/>
      <c r="C184" s="17"/>
      <c r="G184" s="17"/>
      <c r="H184" s="22"/>
      <c r="I184" s="20" t="str">
        <f t="shared" si="1"/>
        <v/>
      </c>
      <c r="J184" s="17"/>
      <c r="K184" s="17"/>
      <c r="L184" s="17" t="str">
        <f>IF(K184="","",IFERROR(VLOOKUP(K184,COA!A:B,2,FALSE),"-"))</f>
        <v/>
      </c>
      <c r="M184" s="17"/>
      <c r="N184" s="17" t="str">
        <f>IF(M184="","",IFERROR(VLOOKUP(M184,COA!A:B,2,FALSE),"-"))</f>
        <v/>
      </c>
    </row>
    <row r="185">
      <c r="A185" s="43"/>
      <c r="C185" s="17"/>
      <c r="G185" s="17"/>
      <c r="H185" s="22"/>
      <c r="I185" s="20" t="str">
        <f t="shared" si="1"/>
        <v/>
      </c>
      <c r="J185" s="17"/>
      <c r="K185" s="17"/>
      <c r="L185" s="17" t="str">
        <f>IF(K185="","",IFERROR(VLOOKUP(K185,COA!A:B,2,FALSE),"-"))</f>
        <v/>
      </c>
      <c r="M185" s="17"/>
      <c r="N185" s="17" t="str">
        <f>IF(M185="","",IFERROR(VLOOKUP(M185,COA!A:B,2,FALSE),"-"))</f>
        <v/>
      </c>
    </row>
    <row r="186">
      <c r="A186" s="43"/>
      <c r="C186" s="17"/>
      <c r="G186" s="17"/>
      <c r="H186" s="22"/>
      <c r="I186" s="20" t="str">
        <f t="shared" si="1"/>
        <v/>
      </c>
      <c r="J186" s="17"/>
      <c r="K186" s="17"/>
      <c r="L186" s="17" t="str">
        <f>IF(K186="","",IFERROR(VLOOKUP(K186,COA!A:B,2,FALSE),"-"))</f>
        <v/>
      </c>
      <c r="M186" s="17"/>
      <c r="N186" s="17" t="str">
        <f>IF(M186="","",IFERROR(VLOOKUP(M186,COA!A:B,2,FALSE),"-"))</f>
        <v/>
      </c>
    </row>
    <row r="187">
      <c r="A187" s="43"/>
      <c r="C187" s="17"/>
      <c r="G187" s="17"/>
      <c r="H187" s="22"/>
      <c r="I187" s="20" t="str">
        <f t="shared" si="1"/>
        <v/>
      </c>
      <c r="J187" s="17"/>
      <c r="K187" s="17"/>
      <c r="L187" s="17" t="str">
        <f>IF(K187="","",IFERROR(VLOOKUP(K187,COA!A:B,2,FALSE),"-"))</f>
        <v/>
      </c>
      <c r="M187" s="17"/>
      <c r="N187" s="17" t="str">
        <f>IF(M187="","",IFERROR(VLOOKUP(M187,COA!A:B,2,FALSE),"-"))</f>
        <v/>
      </c>
    </row>
    <row r="188">
      <c r="A188" s="43"/>
      <c r="C188" s="17"/>
      <c r="G188" s="17"/>
      <c r="H188" s="22"/>
      <c r="I188" s="20" t="str">
        <f t="shared" si="1"/>
        <v/>
      </c>
      <c r="J188" s="17"/>
      <c r="K188" s="17"/>
      <c r="L188" s="17" t="str">
        <f>IF(K188="","",IFERROR(VLOOKUP(K188,COA!A:B,2,FALSE),"-"))</f>
        <v/>
      </c>
      <c r="M188" s="17"/>
      <c r="N188" s="17" t="str">
        <f>IF(M188="","",IFERROR(VLOOKUP(M188,COA!A:B,2,FALSE),"-"))</f>
        <v/>
      </c>
    </row>
    <row r="189">
      <c r="A189" s="43"/>
      <c r="C189" s="17"/>
      <c r="G189" s="17"/>
      <c r="H189" s="22"/>
      <c r="I189" s="20" t="str">
        <f t="shared" si="1"/>
        <v/>
      </c>
      <c r="J189" s="17"/>
      <c r="K189" s="17"/>
      <c r="L189" s="17" t="str">
        <f>IF(K189="","",IFERROR(VLOOKUP(K189,COA!A:B,2,FALSE),"-"))</f>
        <v/>
      </c>
      <c r="M189" s="17"/>
      <c r="N189" s="17" t="str">
        <f>IF(M189="","",IFERROR(VLOOKUP(M189,COA!A:B,2,FALSE),"-"))</f>
        <v/>
      </c>
    </row>
    <row r="190">
      <c r="A190" s="43"/>
      <c r="C190" s="17"/>
      <c r="G190" s="17"/>
      <c r="H190" s="22"/>
      <c r="I190" s="20" t="str">
        <f t="shared" si="1"/>
        <v/>
      </c>
      <c r="J190" s="17"/>
      <c r="K190" s="17"/>
      <c r="L190" s="17" t="str">
        <f>IF(K190="","",IFERROR(VLOOKUP(K190,COA!A:B,2,FALSE),"-"))</f>
        <v/>
      </c>
      <c r="M190" s="17"/>
      <c r="N190" s="17" t="str">
        <f>IF(M190="","",IFERROR(VLOOKUP(M190,COA!A:B,2,FALSE),"-"))</f>
        <v/>
      </c>
    </row>
    <row r="191">
      <c r="A191" s="43"/>
      <c r="C191" s="17"/>
      <c r="G191" s="17"/>
      <c r="H191" s="22"/>
      <c r="I191" s="20" t="str">
        <f t="shared" si="1"/>
        <v/>
      </c>
      <c r="J191" s="17"/>
      <c r="K191" s="17"/>
      <c r="L191" s="17" t="str">
        <f>IF(K191="","",IFERROR(VLOOKUP(K191,COA!A:B,2,FALSE),"-"))</f>
        <v/>
      </c>
      <c r="M191" s="17"/>
      <c r="N191" s="17" t="str">
        <f>IF(M191="","",IFERROR(VLOOKUP(M191,COA!A:B,2,FALSE),"-"))</f>
        <v/>
      </c>
    </row>
    <row r="192">
      <c r="A192" s="43"/>
      <c r="C192" s="17"/>
      <c r="G192" s="17"/>
      <c r="H192" s="22"/>
      <c r="I192" s="20" t="str">
        <f t="shared" si="1"/>
        <v/>
      </c>
      <c r="J192" s="17"/>
      <c r="K192" s="17"/>
      <c r="L192" s="17" t="str">
        <f>IF(K192="","",IFERROR(VLOOKUP(K192,COA!A:B,2,FALSE),"-"))</f>
        <v/>
      </c>
      <c r="M192" s="17"/>
      <c r="N192" s="17" t="str">
        <f>IF(M192="","",IFERROR(VLOOKUP(M192,COA!A:B,2,FALSE),"-"))</f>
        <v/>
      </c>
    </row>
    <row r="193">
      <c r="A193" s="43"/>
      <c r="C193" s="17"/>
      <c r="G193" s="17"/>
      <c r="H193" s="22"/>
      <c r="I193" s="20" t="str">
        <f t="shared" si="1"/>
        <v/>
      </c>
      <c r="J193" s="17"/>
      <c r="K193" s="17"/>
      <c r="L193" s="17" t="str">
        <f>IF(K193="","",IFERROR(VLOOKUP(K193,COA!A:B,2,FALSE),"-"))</f>
        <v/>
      </c>
      <c r="M193" s="17"/>
      <c r="N193" s="17" t="str">
        <f>IF(M193="","",IFERROR(VLOOKUP(M193,COA!A:B,2,FALSE),"-"))</f>
        <v/>
      </c>
    </row>
    <row r="194">
      <c r="A194" s="43"/>
      <c r="C194" s="17"/>
      <c r="G194" s="17"/>
      <c r="H194" s="22"/>
      <c r="I194" s="20" t="str">
        <f t="shared" si="1"/>
        <v/>
      </c>
      <c r="J194" s="17"/>
      <c r="K194" s="17"/>
      <c r="L194" s="17" t="str">
        <f>IF(K194="","",IFERROR(VLOOKUP(K194,COA!A:B,2,FALSE),"-"))</f>
        <v/>
      </c>
      <c r="M194" s="17"/>
      <c r="N194" s="17" t="str">
        <f>IF(M194="","",IFERROR(VLOOKUP(M194,COA!A:B,2,FALSE),"-"))</f>
        <v/>
      </c>
    </row>
    <row r="195">
      <c r="A195" s="43"/>
      <c r="C195" s="17"/>
      <c r="G195" s="17"/>
      <c r="H195" s="22"/>
      <c r="I195" s="20" t="str">
        <f t="shared" si="1"/>
        <v/>
      </c>
      <c r="J195" s="17"/>
      <c r="K195" s="17"/>
      <c r="L195" s="17" t="str">
        <f>IF(K195="","",IFERROR(VLOOKUP(K195,COA!A:B,2,FALSE),"-"))</f>
        <v/>
      </c>
      <c r="M195" s="17"/>
      <c r="N195" s="17" t="str">
        <f>IF(M195="","",IFERROR(VLOOKUP(M195,COA!A:B,2,FALSE),"-"))</f>
        <v/>
      </c>
    </row>
    <row r="196">
      <c r="A196" s="43"/>
      <c r="C196" s="17"/>
      <c r="G196" s="17"/>
      <c r="H196" s="22"/>
      <c r="I196" s="20" t="str">
        <f t="shared" si="1"/>
        <v/>
      </c>
      <c r="J196" s="17"/>
      <c r="K196" s="17"/>
      <c r="L196" s="17" t="str">
        <f>IF(K196="","",IFERROR(VLOOKUP(K196,COA!A:B,2,FALSE),"-"))</f>
        <v/>
      </c>
      <c r="M196" s="17"/>
      <c r="N196" s="17" t="str">
        <f>IF(M196="","",IFERROR(VLOOKUP(M196,COA!A:B,2,FALSE),"-"))</f>
        <v/>
      </c>
    </row>
    <row r="197">
      <c r="A197" s="43"/>
      <c r="C197" s="17"/>
      <c r="G197" s="17"/>
      <c r="H197" s="22"/>
      <c r="I197" s="20" t="str">
        <f t="shared" si="1"/>
        <v/>
      </c>
      <c r="J197" s="17"/>
      <c r="K197" s="17"/>
      <c r="L197" s="17" t="str">
        <f>IF(K197="","",IFERROR(VLOOKUP(K197,COA!A:B,2,FALSE),"-"))</f>
        <v/>
      </c>
      <c r="M197" s="17"/>
      <c r="N197" s="17" t="str">
        <f>IF(M197="","",IFERROR(VLOOKUP(M197,COA!A:B,2,FALSE),"-"))</f>
        <v/>
      </c>
    </row>
    <row r="198">
      <c r="A198" s="43"/>
      <c r="C198" s="17"/>
      <c r="G198" s="17"/>
      <c r="H198" s="22"/>
      <c r="I198" s="20" t="str">
        <f t="shared" si="1"/>
        <v/>
      </c>
      <c r="J198" s="17"/>
      <c r="K198" s="17"/>
      <c r="L198" s="17" t="str">
        <f>IF(K198="","",IFERROR(VLOOKUP(K198,COA!A:B,2,FALSE),"-"))</f>
        <v/>
      </c>
      <c r="M198" s="17"/>
      <c r="N198" s="17" t="str">
        <f>IF(M198="","",IFERROR(VLOOKUP(M198,COA!A:B,2,FALSE),"-"))</f>
        <v/>
      </c>
    </row>
    <row r="199">
      <c r="A199" s="43"/>
      <c r="C199" s="17"/>
      <c r="G199" s="17"/>
      <c r="H199" s="22"/>
      <c r="I199" s="20" t="str">
        <f t="shared" si="1"/>
        <v/>
      </c>
      <c r="J199" s="17"/>
      <c r="K199" s="17"/>
      <c r="L199" s="17" t="str">
        <f>IF(K199="","",IFERROR(VLOOKUP(K199,COA!A:B,2,FALSE),"-"))</f>
        <v/>
      </c>
      <c r="M199" s="17"/>
      <c r="N199" s="17" t="str">
        <f>IF(M199="","",IFERROR(VLOOKUP(M199,COA!A:B,2,FALSE),"-"))</f>
        <v/>
      </c>
    </row>
    <row r="200">
      <c r="A200" s="43"/>
      <c r="C200" s="17"/>
      <c r="G200" s="17"/>
      <c r="H200" s="22"/>
      <c r="I200" s="20" t="str">
        <f t="shared" si="1"/>
        <v/>
      </c>
      <c r="J200" s="17"/>
      <c r="K200" s="17"/>
      <c r="L200" s="17" t="str">
        <f>IF(K200="","",IFERROR(VLOOKUP(K200,COA!A:B,2,FALSE),"-"))</f>
        <v/>
      </c>
      <c r="M200" s="17"/>
      <c r="N200" s="17" t="str">
        <f>IF(M200="","",IFERROR(VLOOKUP(M200,COA!A:B,2,FALSE),"-"))</f>
        <v/>
      </c>
    </row>
    <row r="201">
      <c r="A201" s="43"/>
      <c r="C201" s="17"/>
      <c r="G201" s="17"/>
      <c r="H201" s="22"/>
      <c r="I201" s="20" t="str">
        <f t="shared" si="1"/>
        <v/>
      </c>
      <c r="J201" s="17"/>
      <c r="K201" s="17"/>
      <c r="L201" s="17" t="str">
        <f>IF(K201="","",IFERROR(VLOOKUP(K201,COA!A:B,2,FALSE),"-"))</f>
        <v/>
      </c>
      <c r="M201" s="17"/>
      <c r="N201" s="17" t="str">
        <f>IF(M201="","",IFERROR(VLOOKUP(M201,COA!A:B,2,FALSE),"-"))</f>
        <v/>
      </c>
    </row>
    <row r="202">
      <c r="A202" s="43"/>
      <c r="C202" s="17"/>
      <c r="G202" s="17"/>
      <c r="H202" s="22"/>
      <c r="I202" s="20" t="str">
        <f t="shared" si="1"/>
        <v/>
      </c>
      <c r="J202" s="17"/>
      <c r="K202" s="17"/>
      <c r="L202" s="17" t="str">
        <f>IF(K202="","",IFERROR(VLOOKUP(K202,COA!A:B,2,FALSE),"-"))</f>
        <v/>
      </c>
      <c r="M202" s="17"/>
      <c r="N202" s="17" t="str">
        <f>IF(M202="","",IFERROR(VLOOKUP(M202,COA!A:B,2,FALSE),"-"))</f>
        <v/>
      </c>
    </row>
    <row r="203">
      <c r="A203" s="43"/>
      <c r="C203" s="17"/>
      <c r="G203" s="17"/>
      <c r="H203" s="22"/>
      <c r="I203" s="20" t="str">
        <f t="shared" si="1"/>
        <v/>
      </c>
      <c r="J203" s="17"/>
      <c r="K203" s="17"/>
      <c r="L203" s="17" t="str">
        <f>IF(K203="","",IFERROR(VLOOKUP(K203,COA!A:B,2,FALSE),"-"))</f>
        <v/>
      </c>
      <c r="M203" s="17"/>
      <c r="N203" s="17" t="str">
        <f>IF(M203="","",IFERROR(VLOOKUP(M203,COA!A:B,2,FALSE),"-"))</f>
        <v/>
      </c>
    </row>
    <row r="204">
      <c r="A204" s="43"/>
      <c r="C204" s="17"/>
      <c r="G204" s="17"/>
      <c r="H204" s="22"/>
      <c r="I204" s="20" t="str">
        <f t="shared" si="1"/>
        <v/>
      </c>
      <c r="J204" s="17"/>
      <c r="K204" s="17"/>
      <c r="L204" s="17" t="str">
        <f>IF(K204="","",IFERROR(VLOOKUP(K204,COA!A:B,2,FALSE),"-"))</f>
        <v/>
      </c>
      <c r="M204" s="17"/>
      <c r="N204" s="17" t="str">
        <f>IF(M204="","",IFERROR(VLOOKUP(M204,COA!A:B,2,FALSE),"-"))</f>
        <v/>
      </c>
    </row>
    <row r="205">
      <c r="A205" s="43"/>
      <c r="C205" s="17"/>
      <c r="G205" s="17"/>
      <c r="H205" s="22"/>
      <c r="I205" s="20" t="str">
        <f t="shared" si="1"/>
        <v/>
      </c>
      <c r="J205" s="17"/>
      <c r="K205" s="17"/>
      <c r="L205" s="17" t="str">
        <f>IF(K205="","",IFERROR(VLOOKUP(K205,COA!A:B,2,FALSE),"-"))</f>
        <v/>
      </c>
      <c r="M205" s="17"/>
      <c r="N205" s="17" t="str">
        <f>IF(M205="","",IFERROR(VLOOKUP(M205,COA!A:B,2,FALSE),"-"))</f>
        <v/>
      </c>
    </row>
    <row r="206">
      <c r="A206" s="43"/>
      <c r="C206" s="17"/>
      <c r="G206" s="17"/>
      <c r="H206" s="22"/>
      <c r="I206" s="20" t="str">
        <f t="shared" si="1"/>
        <v/>
      </c>
      <c r="J206" s="17"/>
      <c r="K206" s="17"/>
      <c r="L206" s="17" t="str">
        <f>IF(K206="","",IFERROR(VLOOKUP(K206,COA!A:B,2,FALSE),"-"))</f>
        <v/>
      </c>
      <c r="M206" s="17"/>
      <c r="N206" s="17" t="str">
        <f>IF(M206="","",IFERROR(VLOOKUP(M206,COA!A:B,2,FALSE),"-"))</f>
        <v/>
      </c>
    </row>
    <row r="207">
      <c r="A207" s="43"/>
      <c r="C207" s="17"/>
      <c r="G207" s="17"/>
      <c r="H207" s="22"/>
      <c r="I207" s="20" t="str">
        <f t="shared" si="1"/>
        <v/>
      </c>
      <c r="J207" s="17"/>
      <c r="K207" s="17"/>
      <c r="L207" s="17" t="str">
        <f>IF(K207="","",IFERROR(VLOOKUP(K207,COA!A:B,2,FALSE),"-"))</f>
        <v/>
      </c>
      <c r="M207" s="17"/>
      <c r="N207" s="17" t="str">
        <f>IF(M207="","",IFERROR(VLOOKUP(M207,COA!A:B,2,FALSE),"-"))</f>
        <v/>
      </c>
    </row>
    <row r="208">
      <c r="A208" s="43"/>
      <c r="C208" s="17"/>
      <c r="G208" s="17"/>
      <c r="H208" s="22"/>
      <c r="I208" s="20" t="str">
        <f t="shared" si="1"/>
        <v/>
      </c>
      <c r="J208" s="17"/>
      <c r="K208" s="17"/>
      <c r="L208" s="17" t="str">
        <f>IF(K208="","",IFERROR(VLOOKUP(K208,COA!A:B,2,FALSE),"-"))</f>
        <v/>
      </c>
      <c r="M208" s="17"/>
      <c r="N208" s="17" t="str">
        <f>IF(M208="","",IFERROR(VLOOKUP(M208,COA!A:B,2,FALSE),"-"))</f>
        <v/>
      </c>
    </row>
    <row r="209">
      <c r="A209" s="43"/>
      <c r="C209" s="17"/>
      <c r="G209" s="17"/>
      <c r="H209" s="22"/>
      <c r="I209" s="20" t="str">
        <f t="shared" si="1"/>
        <v/>
      </c>
      <c r="J209" s="17"/>
      <c r="K209" s="17"/>
      <c r="L209" s="17" t="str">
        <f>IF(K209="","",IFERROR(VLOOKUP(K209,COA!A:B,2,FALSE),"-"))</f>
        <v/>
      </c>
      <c r="M209" s="17"/>
      <c r="N209" s="17" t="str">
        <f>IF(M209="","",IFERROR(VLOOKUP(M209,COA!A:B,2,FALSE),"-"))</f>
        <v/>
      </c>
    </row>
    <row r="210">
      <c r="A210" s="43"/>
      <c r="C210" s="17"/>
      <c r="G210" s="17"/>
      <c r="H210" s="22"/>
      <c r="I210" s="20" t="str">
        <f t="shared" si="1"/>
        <v/>
      </c>
      <c r="J210" s="17"/>
      <c r="K210" s="17"/>
      <c r="L210" s="17" t="str">
        <f>IF(K210="","",IFERROR(VLOOKUP(K210,COA!A:B,2,FALSE),"-"))</f>
        <v/>
      </c>
      <c r="M210" s="17"/>
      <c r="N210" s="17" t="str">
        <f>IF(M210="","",IFERROR(VLOOKUP(M210,COA!A:B,2,FALSE),"-"))</f>
        <v/>
      </c>
    </row>
    <row r="211">
      <c r="A211" s="43"/>
      <c r="C211" s="17"/>
      <c r="G211" s="17"/>
      <c r="H211" s="22"/>
      <c r="I211" s="20" t="str">
        <f t="shared" si="1"/>
        <v/>
      </c>
      <c r="J211" s="17"/>
      <c r="K211" s="17"/>
      <c r="L211" s="17" t="str">
        <f>IF(K211="","",IFERROR(VLOOKUP(K211,COA!A:B,2,FALSE),"-"))</f>
        <v/>
      </c>
      <c r="M211" s="17"/>
      <c r="N211" s="17" t="str">
        <f>IF(M211="","",IFERROR(VLOOKUP(M211,COA!A:B,2,FALSE),"-"))</f>
        <v/>
      </c>
    </row>
    <row r="212">
      <c r="A212" s="43"/>
      <c r="C212" s="17"/>
      <c r="G212" s="17"/>
      <c r="H212" s="22"/>
      <c r="I212" s="20" t="str">
        <f t="shared" si="1"/>
        <v/>
      </c>
      <c r="J212" s="17"/>
      <c r="K212" s="17"/>
      <c r="L212" s="17" t="str">
        <f>IF(K212="","",IFERROR(VLOOKUP(K212,COA!A:B,2,FALSE),"-"))</f>
        <v/>
      </c>
      <c r="M212" s="17"/>
      <c r="N212" s="17" t="str">
        <f>IF(M212="","",IFERROR(VLOOKUP(M212,COA!A:B,2,FALSE),"-"))</f>
        <v/>
      </c>
    </row>
    <row r="213">
      <c r="A213" s="43"/>
      <c r="C213" s="17"/>
      <c r="G213" s="17"/>
      <c r="H213" s="22"/>
      <c r="I213" s="20" t="str">
        <f t="shared" si="1"/>
        <v/>
      </c>
      <c r="J213" s="17"/>
      <c r="K213" s="17"/>
      <c r="L213" s="17" t="str">
        <f>IF(K213="","",IFERROR(VLOOKUP(K213,COA!A:B,2,FALSE),"-"))</f>
        <v/>
      </c>
      <c r="M213" s="17"/>
      <c r="N213" s="17" t="str">
        <f>IF(M213="","",IFERROR(VLOOKUP(M213,COA!A:B,2,FALSE),"-"))</f>
        <v/>
      </c>
    </row>
    <row r="214">
      <c r="A214" s="43"/>
      <c r="C214" s="17"/>
      <c r="G214" s="17"/>
      <c r="H214" s="22"/>
      <c r="I214" s="20" t="str">
        <f t="shared" si="1"/>
        <v/>
      </c>
      <c r="J214" s="17"/>
      <c r="K214" s="17"/>
      <c r="L214" s="17" t="str">
        <f>IF(K214="","",IFERROR(VLOOKUP(K214,COA!A:B,2,FALSE),"-"))</f>
        <v/>
      </c>
      <c r="M214" s="17"/>
      <c r="N214" s="17" t="str">
        <f>IF(M214="","",IFERROR(VLOOKUP(M214,COA!A:B,2,FALSE),"-"))</f>
        <v/>
      </c>
    </row>
    <row r="215">
      <c r="A215" s="43"/>
      <c r="C215" s="17"/>
      <c r="G215" s="17"/>
      <c r="H215" s="22"/>
      <c r="I215" s="20" t="str">
        <f t="shared" si="1"/>
        <v/>
      </c>
      <c r="J215" s="17"/>
      <c r="K215" s="17"/>
      <c r="L215" s="17" t="str">
        <f>IF(K215="","",IFERROR(VLOOKUP(K215,COA!A:B,2,FALSE),"-"))</f>
        <v/>
      </c>
      <c r="M215" s="17"/>
      <c r="N215" s="17" t="str">
        <f>IF(M215="","",IFERROR(VLOOKUP(M215,COA!A:B,2,FALSE),"-"))</f>
        <v/>
      </c>
    </row>
    <row r="216">
      <c r="A216" s="43"/>
      <c r="C216" s="17"/>
      <c r="G216" s="17"/>
      <c r="H216" s="22"/>
      <c r="I216" s="20" t="str">
        <f t="shared" si="1"/>
        <v/>
      </c>
      <c r="J216" s="17"/>
      <c r="K216" s="17"/>
      <c r="L216" s="17" t="str">
        <f>IF(K216="","",IFERROR(VLOOKUP(K216,COA!A:B,2,FALSE),"-"))</f>
        <v/>
      </c>
      <c r="M216" s="17"/>
      <c r="N216" s="17" t="str">
        <f>IF(M216="","",IFERROR(VLOOKUP(M216,COA!A:B,2,FALSE),"-"))</f>
        <v/>
      </c>
    </row>
    <row r="217">
      <c r="A217" s="43"/>
      <c r="C217" s="17"/>
      <c r="G217" s="17"/>
      <c r="H217" s="22"/>
      <c r="I217" s="20" t="str">
        <f t="shared" si="1"/>
        <v/>
      </c>
      <c r="J217" s="17"/>
      <c r="K217" s="17"/>
      <c r="L217" s="17" t="str">
        <f>IF(K217="","",IFERROR(VLOOKUP(K217,COA!A:B,2,FALSE),"-"))</f>
        <v/>
      </c>
      <c r="M217" s="17"/>
      <c r="N217" s="17" t="str">
        <f>IF(M217="","",IFERROR(VLOOKUP(M217,COA!A:B,2,FALSE),"-"))</f>
        <v/>
      </c>
    </row>
    <row r="218">
      <c r="A218" s="43"/>
      <c r="C218" s="17"/>
      <c r="G218" s="17"/>
      <c r="H218" s="22"/>
      <c r="I218" s="20" t="str">
        <f t="shared" si="1"/>
        <v/>
      </c>
      <c r="J218" s="17"/>
      <c r="K218" s="17"/>
      <c r="L218" s="17" t="str">
        <f>IF(K218="","",IFERROR(VLOOKUP(K218,COA!A:B,2,FALSE),"-"))</f>
        <v/>
      </c>
      <c r="M218" s="17"/>
      <c r="N218" s="17" t="str">
        <f>IF(M218="","",IFERROR(VLOOKUP(M218,COA!A:B,2,FALSE),"-"))</f>
        <v/>
      </c>
    </row>
    <row r="219">
      <c r="A219" s="43"/>
      <c r="C219" s="17"/>
      <c r="G219" s="17"/>
      <c r="H219" s="22"/>
      <c r="I219" s="20" t="str">
        <f t="shared" si="1"/>
        <v/>
      </c>
      <c r="J219" s="17"/>
      <c r="K219" s="17"/>
      <c r="L219" s="17" t="str">
        <f>IF(K219="","",IFERROR(VLOOKUP(K219,COA!A:B,2,FALSE),"-"))</f>
        <v/>
      </c>
      <c r="M219" s="17"/>
      <c r="N219" s="17" t="str">
        <f>IF(M219="","",IFERROR(VLOOKUP(M219,COA!A:B,2,FALSE),"-"))</f>
        <v/>
      </c>
    </row>
    <row r="220">
      <c r="A220" s="43"/>
      <c r="C220" s="17"/>
      <c r="G220" s="17"/>
      <c r="H220" s="22"/>
      <c r="I220" s="20" t="str">
        <f t="shared" si="1"/>
        <v/>
      </c>
      <c r="J220" s="17"/>
      <c r="K220" s="17"/>
      <c r="L220" s="17" t="str">
        <f>IF(K220="","",IFERROR(VLOOKUP(K220,COA!A:B,2,FALSE),"-"))</f>
        <v/>
      </c>
      <c r="M220" s="17"/>
      <c r="N220" s="17" t="str">
        <f>IF(M220="","",IFERROR(VLOOKUP(M220,COA!A:B,2,FALSE),"-"))</f>
        <v/>
      </c>
    </row>
    <row r="221">
      <c r="A221" s="43"/>
      <c r="C221" s="17"/>
      <c r="G221" s="17"/>
      <c r="H221" s="22"/>
      <c r="I221" s="20" t="str">
        <f t="shared" si="1"/>
        <v/>
      </c>
      <c r="J221" s="17"/>
      <c r="K221" s="17"/>
      <c r="L221" s="17" t="str">
        <f>IF(K221="","",IFERROR(VLOOKUP(K221,COA!A:B,2,FALSE),"-"))</f>
        <v/>
      </c>
      <c r="M221" s="17"/>
      <c r="N221" s="17" t="str">
        <f>IF(M221="","",IFERROR(VLOOKUP(M221,COA!A:B,2,FALSE),"-"))</f>
        <v/>
      </c>
    </row>
    <row r="222">
      <c r="A222" s="43"/>
      <c r="C222" s="17"/>
      <c r="G222" s="17"/>
      <c r="H222" s="22"/>
      <c r="I222" s="20" t="str">
        <f t="shared" si="1"/>
        <v/>
      </c>
      <c r="J222" s="17"/>
      <c r="K222" s="17"/>
      <c r="L222" s="17" t="str">
        <f>IF(K222="","",IFERROR(VLOOKUP(K222,COA!A:B,2,FALSE),"-"))</f>
        <v/>
      </c>
      <c r="M222" s="17"/>
      <c r="N222" s="17" t="str">
        <f>IF(M222="","",IFERROR(VLOOKUP(M222,COA!A:B,2,FALSE),"-"))</f>
        <v/>
      </c>
    </row>
    <row r="223">
      <c r="A223" s="43"/>
      <c r="C223" s="17"/>
      <c r="G223" s="17"/>
      <c r="H223" s="22"/>
      <c r="I223" s="20" t="str">
        <f t="shared" si="1"/>
        <v/>
      </c>
      <c r="J223" s="17"/>
      <c r="K223" s="17"/>
      <c r="L223" s="17" t="str">
        <f>IF(K223="","",IFERROR(VLOOKUP(K223,COA!A:B,2,FALSE),"-"))</f>
        <v/>
      </c>
      <c r="M223" s="17"/>
      <c r="N223" s="17" t="str">
        <f>IF(M223="","",IFERROR(VLOOKUP(M223,COA!A:B,2,FALSE),"-"))</f>
        <v/>
      </c>
    </row>
    <row r="224">
      <c r="A224" s="43"/>
      <c r="C224" s="17"/>
      <c r="G224" s="17"/>
      <c r="H224" s="22"/>
      <c r="I224" s="20" t="str">
        <f t="shared" si="1"/>
        <v/>
      </c>
      <c r="J224" s="17"/>
      <c r="K224" s="17"/>
      <c r="L224" s="17" t="str">
        <f>IF(K224="","",IFERROR(VLOOKUP(K224,COA!A:B,2,FALSE),"-"))</f>
        <v/>
      </c>
      <c r="M224" s="17"/>
      <c r="N224" s="17" t="str">
        <f>IF(M224="","",IFERROR(VLOOKUP(M224,COA!A:B,2,FALSE),"-"))</f>
        <v/>
      </c>
    </row>
    <row r="225">
      <c r="A225" s="43"/>
      <c r="C225" s="17"/>
      <c r="G225" s="17"/>
      <c r="H225" s="22"/>
      <c r="I225" s="20" t="str">
        <f t="shared" si="1"/>
        <v/>
      </c>
      <c r="J225" s="17"/>
      <c r="K225" s="17"/>
      <c r="L225" s="17" t="str">
        <f>IF(K225="","",IFERROR(VLOOKUP(K225,COA!A:B,2,FALSE),"-"))</f>
        <v/>
      </c>
      <c r="M225" s="17"/>
      <c r="N225" s="17" t="str">
        <f>IF(M225="","",IFERROR(VLOOKUP(M225,COA!A:B,2,FALSE),"-"))</f>
        <v/>
      </c>
    </row>
    <row r="226">
      <c r="A226" s="43"/>
      <c r="C226" s="17"/>
      <c r="G226" s="17"/>
      <c r="H226" s="22"/>
      <c r="I226" s="20" t="str">
        <f t="shared" si="1"/>
        <v/>
      </c>
      <c r="J226" s="17"/>
      <c r="K226" s="17"/>
      <c r="L226" s="17" t="str">
        <f>IF(K226="","",IFERROR(VLOOKUP(K226,COA!A:B,2,FALSE),"-"))</f>
        <v/>
      </c>
      <c r="M226" s="17"/>
      <c r="N226" s="17" t="str">
        <f>IF(M226="","",IFERROR(VLOOKUP(M226,COA!A:B,2,FALSE),"-"))</f>
        <v/>
      </c>
    </row>
    <row r="227">
      <c r="A227" s="43"/>
      <c r="C227" s="17"/>
      <c r="G227" s="17"/>
      <c r="H227" s="22"/>
      <c r="I227" s="20" t="str">
        <f t="shared" si="1"/>
        <v/>
      </c>
      <c r="J227" s="17"/>
      <c r="K227" s="17"/>
      <c r="L227" s="17" t="str">
        <f>IF(K227="","",IFERROR(VLOOKUP(K227,COA!A:B,2,FALSE),"-"))</f>
        <v/>
      </c>
      <c r="M227" s="17"/>
      <c r="N227" s="17" t="str">
        <f>IF(M227="","",IFERROR(VLOOKUP(M227,COA!A:B,2,FALSE),"-"))</f>
        <v/>
      </c>
    </row>
    <row r="228">
      <c r="A228" s="43"/>
      <c r="C228" s="17"/>
      <c r="G228" s="17"/>
      <c r="H228" s="22"/>
      <c r="I228" s="20" t="str">
        <f t="shared" si="1"/>
        <v/>
      </c>
      <c r="J228" s="17"/>
      <c r="K228" s="17"/>
      <c r="L228" s="17" t="str">
        <f>IF(K228="","",IFERROR(VLOOKUP(K228,COA!A:B,2,FALSE),"-"))</f>
        <v/>
      </c>
      <c r="M228" s="17"/>
      <c r="N228" s="17" t="str">
        <f>IF(M228="","",IFERROR(VLOOKUP(M228,COA!A:B,2,FALSE),"-"))</f>
        <v/>
      </c>
    </row>
    <row r="229">
      <c r="A229" s="43"/>
      <c r="C229" s="17"/>
      <c r="G229" s="17"/>
      <c r="H229" s="22"/>
      <c r="I229" s="20" t="str">
        <f t="shared" si="1"/>
        <v/>
      </c>
      <c r="J229" s="17"/>
      <c r="K229" s="17"/>
      <c r="L229" s="17" t="str">
        <f>IF(K229="","",IFERROR(VLOOKUP(K229,COA!A:B,2,FALSE),"-"))</f>
        <v/>
      </c>
      <c r="M229" s="17"/>
      <c r="N229" s="17" t="str">
        <f>IF(M229="","",IFERROR(VLOOKUP(M229,COA!A:B,2,FALSE),"-"))</f>
        <v/>
      </c>
    </row>
    <row r="230">
      <c r="A230" s="43"/>
      <c r="C230" s="17"/>
      <c r="G230" s="17"/>
      <c r="H230" s="22"/>
      <c r="I230" s="20" t="str">
        <f t="shared" si="1"/>
        <v/>
      </c>
      <c r="J230" s="17"/>
      <c r="K230" s="17"/>
      <c r="L230" s="17" t="str">
        <f>IF(K230="","",IFERROR(VLOOKUP(K230,COA!A:B,2,FALSE),"-"))</f>
        <v/>
      </c>
      <c r="M230" s="17"/>
      <c r="N230" s="17" t="str">
        <f>IF(M230="","",IFERROR(VLOOKUP(M230,COA!A:B,2,FALSE),"-"))</f>
        <v/>
      </c>
    </row>
    <row r="231">
      <c r="A231" s="43"/>
      <c r="C231" s="17"/>
      <c r="G231" s="17"/>
      <c r="H231" s="22"/>
      <c r="I231" s="20" t="str">
        <f t="shared" si="1"/>
        <v/>
      </c>
      <c r="J231" s="17"/>
      <c r="K231" s="17"/>
      <c r="L231" s="17" t="str">
        <f>IF(K231="","",IFERROR(VLOOKUP(K231,COA!A:B,2,FALSE),"-"))</f>
        <v/>
      </c>
      <c r="M231" s="17"/>
      <c r="N231" s="17" t="str">
        <f>IF(M231="","",IFERROR(VLOOKUP(M231,COA!A:B,2,FALSE),"-"))</f>
        <v/>
      </c>
    </row>
    <row r="232">
      <c r="A232" s="43"/>
      <c r="C232" s="17"/>
      <c r="G232" s="17"/>
      <c r="H232" s="22"/>
      <c r="I232" s="20" t="str">
        <f t="shared" si="1"/>
        <v/>
      </c>
      <c r="J232" s="17"/>
      <c r="K232" s="17"/>
      <c r="L232" s="17" t="str">
        <f>IF(K232="","",IFERROR(VLOOKUP(K232,COA!A:B,2,FALSE),"-"))</f>
        <v/>
      </c>
      <c r="M232" s="17"/>
      <c r="N232" s="17" t="str">
        <f>IF(M232="","",IFERROR(VLOOKUP(M232,COA!A:B,2,FALSE),"-"))</f>
        <v/>
      </c>
    </row>
    <row r="233">
      <c r="A233" s="43"/>
      <c r="C233" s="17"/>
      <c r="G233" s="17"/>
      <c r="H233" s="22"/>
      <c r="I233" s="20" t="str">
        <f t="shared" si="1"/>
        <v/>
      </c>
      <c r="J233" s="17"/>
      <c r="K233" s="17"/>
      <c r="L233" s="17" t="str">
        <f>IF(K233="","",IFERROR(VLOOKUP(K233,COA!A:B,2,FALSE),"-"))</f>
        <v/>
      </c>
      <c r="M233" s="17"/>
      <c r="N233" s="17" t="str">
        <f>IF(M233="","",IFERROR(VLOOKUP(M233,COA!A:B,2,FALSE),"-"))</f>
        <v/>
      </c>
    </row>
    <row r="234">
      <c r="A234" s="43"/>
      <c r="C234" s="17"/>
      <c r="G234" s="17"/>
      <c r="H234" s="22"/>
      <c r="I234" s="20" t="str">
        <f t="shared" si="1"/>
        <v/>
      </c>
      <c r="J234" s="17"/>
      <c r="K234" s="17"/>
      <c r="L234" s="17" t="str">
        <f>IF(K234="","",IFERROR(VLOOKUP(K234,COA!A:B,2,FALSE),"-"))</f>
        <v/>
      </c>
      <c r="M234" s="17"/>
      <c r="N234" s="17" t="str">
        <f>IF(M234="","",IFERROR(VLOOKUP(M234,COA!A:B,2,FALSE),"-"))</f>
        <v/>
      </c>
    </row>
    <row r="235">
      <c r="A235" s="43"/>
      <c r="C235" s="17"/>
      <c r="G235" s="17"/>
      <c r="H235" s="22"/>
      <c r="I235" s="20" t="str">
        <f t="shared" si="1"/>
        <v/>
      </c>
      <c r="J235" s="17"/>
      <c r="K235" s="17"/>
      <c r="L235" s="17" t="str">
        <f>IF(K235="","",IFERROR(VLOOKUP(K235,COA!A:B,2,FALSE),"-"))</f>
        <v/>
      </c>
      <c r="M235" s="17"/>
      <c r="N235" s="17" t="str">
        <f>IF(M235="","",IFERROR(VLOOKUP(M235,COA!A:B,2,FALSE),"-"))</f>
        <v/>
      </c>
    </row>
    <row r="236">
      <c r="A236" s="43"/>
      <c r="C236" s="17"/>
      <c r="G236" s="17"/>
      <c r="H236" s="22"/>
      <c r="I236" s="20" t="str">
        <f t="shared" si="1"/>
        <v/>
      </c>
      <c r="J236" s="17"/>
      <c r="K236" s="17"/>
      <c r="L236" s="17" t="str">
        <f>IF(K236="","",IFERROR(VLOOKUP(K236,COA!A:B,2,FALSE),"-"))</f>
        <v/>
      </c>
      <c r="M236" s="17"/>
      <c r="N236" s="17" t="str">
        <f>IF(M236="","",IFERROR(VLOOKUP(M236,COA!A:B,2,FALSE),"-"))</f>
        <v/>
      </c>
    </row>
    <row r="237">
      <c r="A237" s="43"/>
      <c r="C237" s="17"/>
      <c r="G237" s="17"/>
      <c r="H237" s="22"/>
      <c r="I237" s="20" t="str">
        <f t="shared" si="1"/>
        <v/>
      </c>
      <c r="J237" s="17"/>
      <c r="K237" s="17"/>
      <c r="L237" s="17" t="str">
        <f>IF(K237="","",IFERROR(VLOOKUP(K237,COA!A:B,2,FALSE),"-"))</f>
        <v/>
      </c>
      <c r="M237" s="17"/>
      <c r="N237" s="17" t="str">
        <f>IF(M237="","",IFERROR(VLOOKUP(M237,COA!A:B,2,FALSE),"-"))</f>
        <v/>
      </c>
    </row>
    <row r="238">
      <c r="A238" s="43"/>
      <c r="C238" s="17"/>
      <c r="G238" s="17"/>
      <c r="H238" s="22"/>
      <c r="I238" s="20" t="str">
        <f t="shared" si="1"/>
        <v/>
      </c>
      <c r="J238" s="17"/>
      <c r="K238" s="17"/>
      <c r="L238" s="17" t="str">
        <f>IF(K238="","",IFERROR(VLOOKUP(K238,COA!A:B,2,FALSE),"-"))</f>
        <v/>
      </c>
      <c r="M238" s="17"/>
      <c r="N238" s="17" t="str">
        <f>IF(M238="","",IFERROR(VLOOKUP(M238,COA!A:B,2,FALSE),"-"))</f>
        <v/>
      </c>
    </row>
    <row r="239">
      <c r="A239" s="43"/>
      <c r="C239" s="17"/>
      <c r="G239" s="17"/>
      <c r="H239" s="22"/>
      <c r="I239" s="20" t="str">
        <f t="shared" si="1"/>
        <v/>
      </c>
      <c r="J239" s="17"/>
      <c r="K239" s="17"/>
      <c r="L239" s="17" t="str">
        <f>IF(K239="","",IFERROR(VLOOKUP(K239,COA!A:B,2,FALSE),"-"))</f>
        <v/>
      </c>
      <c r="M239" s="17"/>
      <c r="N239" s="17" t="str">
        <f>IF(M239="","",IFERROR(VLOOKUP(M239,COA!A:B,2,FALSE),"-"))</f>
        <v/>
      </c>
    </row>
    <row r="240">
      <c r="A240" s="43"/>
      <c r="C240" s="17"/>
      <c r="G240" s="17"/>
      <c r="H240" s="22"/>
      <c r="I240" s="20" t="str">
        <f t="shared" si="1"/>
        <v/>
      </c>
      <c r="J240" s="17"/>
      <c r="K240" s="17"/>
      <c r="L240" s="17" t="str">
        <f>IF(K240="","",IFERROR(VLOOKUP(K240,COA!A:B,2,FALSE),"-"))</f>
        <v/>
      </c>
      <c r="M240" s="17"/>
      <c r="N240" s="17" t="str">
        <f>IF(M240="","",IFERROR(VLOOKUP(M240,COA!A:B,2,FALSE),"-"))</f>
        <v/>
      </c>
    </row>
    <row r="241">
      <c r="A241" s="43"/>
      <c r="C241" s="17"/>
      <c r="G241" s="17"/>
      <c r="H241" s="22"/>
      <c r="I241" s="20" t="str">
        <f t="shared" si="1"/>
        <v/>
      </c>
      <c r="J241" s="17"/>
      <c r="K241" s="17"/>
      <c r="L241" s="17" t="str">
        <f>IF(K241="","",IFERROR(VLOOKUP(K241,COA!A:B,2,FALSE),"-"))</f>
        <v/>
      </c>
      <c r="M241" s="17"/>
      <c r="N241" s="17" t="str">
        <f>IF(M241="","",IFERROR(VLOOKUP(M241,COA!A:B,2,FALSE),"-"))</f>
        <v/>
      </c>
    </row>
    <row r="242">
      <c r="A242" s="43"/>
      <c r="C242" s="17"/>
      <c r="G242" s="17"/>
      <c r="H242" s="22"/>
      <c r="I242" s="20" t="str">
        <f t="shared" si="1"/>
        <v/>
      </c>
      <c r="J242" s="17"/>
      <c r="K242" s="17"/>
      <c r="L242" s="17" t="str">
        <f>IF(K242="","",IFERROR(VLOOKUP(K242,COA!A:B,2,FALSE),"-"))</f>
        <v/>
      </c>
      <c r="M242" s="17"/>
      <c r="N242" s="17" t="str">
        <f>IF(M242="","",IFERROR(VLOOKUP(M242,COA!A:B,2,FALSE),"-"))</f>
        <v/>
      </c>
    </row>
    <row r="243">
      <c r="A243" s="43"/>
      <c r="C243" s="17"/>
      <c r="G243" s="17"/>
      <c r="H243" s="22"/>
      <c r="I243" s="20" t="str">
        <f t="shared" si="1"/>
        <v/>
      </c>
      <c r="J243" s="17"/>
      <c r="K243" s="17"/>
      <c r="L243" s="17" t="str">
        <f>IF(K243="","",IFERROR(VLOOKUP(K243,COA!A:B,2,FALSE),"-"))</f>
        <v/>
      </c>
      <c r="M243" s="17"/>
      <c r="N243" s="17" t="str">
        <f>IF(M243="","",IFERROR(VLOOKUP(M243,COA!A:B,2,FALSE),"-"))</f>
        <v/>
      </c>
    </row>
    <row r="244">
      <c r="A244" s="43"/>
      <c r="C244" s="17"/>
      <c r="G244" s="17"/>
      <c r="H244" s="22"/>
      <c r="I244" s="20" t="str">
        <f t="shared" si="1"/>
        <v/>
      </c>
      <c r="J244" s="17"/>
      <c r="K244" s="17"/>
      <c r="L244" s="17" t="str">
        <f>IF(K244="","",IFERROR(VLOOKUP(K244,COA!A:B,2,FALSE),"-"))</f>
        <v/>
      </c>
      <c r="M244" s="17"/>
      <c r="N244" s="17" t="str">
        <f>IF(M244="","",IFERROR(VLOOKUP(M244,COA!A:B,2,FALSE),"-"))</f>
        <v/>
      </c>
    </row>
    <row r="245">
      <c r="A245" s="43"/>
      <c r="C245" s="17"/>
      <c r="G245" s="17"/>
      <c r="H245" s="22"/>
      <c r="I245" s="20" t="str">
        <f t="shared" si="1"/>
        <v/>
      </c>
      <c r="J245" s="17"/>
      <c r="K245" s="17"/>
      <c r="L245" s="17" t="str">
        <f>IF(K245="","",IFERROR(VLOOKUP(K245,COA!A:B,2,FALSE),"-"))</f>
        <v/>
      </c>
      <c r="M245" s="17"/>
      <c r="N245" s="17" t="str">
        <f>IF(M245="","",IFERROR(VLOOKUP(M245,COA!A:B,2,FALSE),"-"))</f>
        <v/>
      </c>
    </row>
    <row r="246">
      <c r="A246" s="43"/>
      <c r="C246" s="17"/>
      <c r="G246" s="17"/>
      <c r="H246" s="22"/>
      <c r="I246" s="20" t="str">
        <f t="shared" si="1"/>
        <v/>
      </c>
      <c r="J246" s="17"/>
      <c r="K246" s="17"/>
      <c r="L246" s="17" t="str">
        <f>IF(K246="","",IFERROR(VLOOKUP(K246,COA!A:B,2,FALSE),"-"))</f>
        <v/>
      </c>
      <c r="M246" s="17"/>
      <c r="N246" s="17" t="str">
        <f>IF(M246="","",IFERROR(VLOOKUP(M246,COA!A:B,2,FALSE),"-"))</f>
        <v/>
      </c>
    </row>
    <row r="247">
      <c r="A247" s="43"/>
      <c r="C247" s="17"/>
      <c r="G247" s="17"/>
      <c r="H247" s="22"/>
      <c r="I247" s="20" t="str">
        <f t="shared" si="1"/>
        <v/>
      </c>
      <c r="J247" s="17"/>
      <c r="K247" s="17"/>
      <c r="L247" s="17" t="str">
        <f>IF(K247="","",IFERROR(VLOOKUP(K247,COA!A:B,2,FALSE),"-"))</f>
        <v/>
      </c>
      <c r="M247" s="17"/>
      <c r="N247" s="17" t="str">
        <f>IF(M247="","",IFERROR(VLOOKUP(M247,COA!A:B,2,FALSE),"-"))</f>
        <v/>
      </c>
    </row>
    <row r="248">
      <c r="A248" s="43"/>
      <c r="C248" s="17"/>
      <c r="G248" s="17"/>
      <c r="H248" s="22"/>
      <c r="I248" s="20" t="str">
        <f t="shared" si="1"/>
        <v/>
      </c>
      <c r="J248" s="17"/>
      <c r="K248" s="17"/>
      <c r="L248" s="17" t="str">
        <f>IF(K248="","",IFERROR(VLOOKUP(K248,COA!A:B,2,FALSE),"-"))</f>
        <v/>
      </c>
      <c r="M248" s="17"/>
      <c r="N248" s="17" t="str">
        <f>IF(M248="","",IFERROR(VLOOKUP(M248,COA!A:B,2,FALSE),"-"))</f>
        <v/>
      </c>
    </row>
    <row r="249">
      <c r="A249" s="43"/>
      <c r="C249" s="17"/>
      <c r="G249" s="17"/>
      <c r="H249" s="22"/>
      <c r="I249" s="20" t="str">
        <f t="shared" si="1"/>
        <v/>
      </c>
      <c r="J249" s="17"/>
      <c r="K249" s="17"/>
      <c r="L249" s="17" t="str">
        <f>IF(K249="","",IFERROR(VLOOKUP(K249,COA!A:B,2,FALSE),"-"))</f>
        <v/>
      </c>
      <c r="M249" s="17"/>
      <c r="N249" s="17" t="str">
        <f>IF(M249="","",IFERROR(VLOOKUP(M249,COA!A:B,2,FALSE),"-"))</f>
        <v/>
      </c>
    </row>
    <row r="250">
      <c r="A250" s="43"/>
      <c r="C250" s="17"/>
      <c r="G250" s="17"/>
      <c r="H250" s="22"/>
      <c r="I250" s="20" t="str">
        <f t="shared" si="1"/>
        <v/>
      </c>
      <c r="J250" s="17"/>
      <c r="K250" s="17"/>
      <c r="L250" s="17" t="str">
        <f>IF(K250="","",IFERROR(VLOOKUP(K250,COA!A:B,2,FALSE),"-"))</f>
        <v/>
      </c>
      <c r="M250" s="17"/>
      <c r="N250" s="17" t="str">
        <f>IF(M250="","",IFERROR(VLOOKUP(M250,COA!A:B,2,FALSE),"-"))</f>
        <v/>
      </c>
    </row>
    <row r="251">
      <c r="A251" s="43"/>
      <c r="C251" s="17"/>
      <c r="G251" s="17"/>
      <c r="H251" s="22"/>
      <c r="I251" s="20" t="str">
        <f t="shared" si="1"/>
        <v/>
      </c>
      <c r="J251" s="17"/>
      <c r="K251" s="17"/>
      <c r="L251" s="17" t="str">
        <f>IF(K251="","",IFERROR(VLOOKUP(K251,COA!A:B,2,FALSE),"-"))</f>
        <v/>
      </c>
      <c r="M251" s="17"/>
      <c r="N251" s="17" t="str">
        <f>IF(M251="","",IFERROR(VLOOKUP(M251,COA!A:B,2,FALSE),"-"))</f>
        <v/>
      </c>
    </row>
    <row r="252">
      <c r="A252" s="43"/>
      <c r="C252" s="17"/>
      <c r="G252" s="17"/>
      <c r="H252" s="22"/>
      <c r="I252" s="20" t="str">
        <f t="shared" si="1"/>
        <v/>
      </c>
      <c r="J252" s="17"/>
      <c r="K252" s="17"/>
      <c r="L252" s="17" t="str">
        <f>IF(K252="","",IFERROR(VLOOKUP(K252,COA!A:B,2,FALSE),"-"))</f>
        <v/>
      </c>
      <c r="M252" s="17"/>
      <c r="N252" s="17" t="str">
        <f>IF(M252="","",IFERROR(VLOOKUP(M252,COA!A:B,2,FALSE),"-"))</f>
        <v/>
      </c>
    </row>
    <row r="253">
      <c r="A253" s="43"/>
      <c r="C253" s="17"/>
      <c r="G253" s="17"/>
      <c r="H253" s="22"/>
      <c r="I253" s="20" t="str">
        <f t="shared" si="1"/>
        <v/>
      </c>
      <c r="J253" s="17"/>
      <c r="K253" s="17"/>
      <c r="L253" s="17" t="str">
        <f>IF(K253="","",IFERROR(VLOOKUP(K253,COA!A:B,2,FALSE),"-"))</f>
        <v/>
      </c>
      <c r="M253" s="17"/>
      <c r="N253" s="17" t="str">
        <f>IF(M253="","",IFERROR(VLOOKUP(M253,COA!A:B,2,FALSE),"-"))</f>
        <v/>
      </c>
    </row>
    <row r="254">
      <c r="A254" s="43"/>
      <c r="C254" s="17"/>
      <c r="G254" s="17"/>
      <c r="H254" s="22"/>
      <c r="I254" s="20" t="str">
        <f t="shared" si="1"/>
        <v/>
      </c>
      <c r="J254" s="17"/>
      <c r="K254" s="17"/>
      <c r="L254" s="17" t="str">
        <f>IF(K254="","",IFERROR(VLOOKUP(K254,COA!A:B,2,FALSE),"-"))</f>
        <v/>
      </c>
      <c r="M254" s="17"/>
      <c r="N254" s="17" t="str">
        <f>IF(M254="","",IFERROR(VLOOKUP(M254,COA!A:B,2,FALSE),"-"))</f>
        <v/>
      </c>
    </row>
    <row r="255">
      <c r="A255" s="43"/>
      <c r="C255" s="17"/>
      <c r="G255" s="17"/>
      <c r="H255" s="22"/>
      <c r="I255" s="20" t="str">
        <f t="shared" si="1"/>
        <v/>
      </c>
      <c r="J255" s="17"/>
      <c r="K255" s="17"/>
      <c r="L255" s="17" t="str">
        <f>IF(K255="","",IFERROR(VLOOKUP(K255,COA!A:B,2,FALSE),"-"))</f>
        <v/>
      </c>
      <c r="M255" s="17"/>
      <c r="N255" s="17" t="str">
        <f>IF(M255="","",IFERROR(VLOOKUP(M255,COA!A:B,2,FALSE),"-"))</f>
        <v/>
      </c>
    </row>
    <row r="256">
      <c r="A256" s="43"/>
      <c r="C256" s="17"/>
      <c r="G256" s="17"/>
      <c r="H256" s="22"/>
      <c r="I256" s="20" t="str">
        <f t="shared" si="1"/>
        <v/>
      </c>
      <c r="J256" s="17"/>
      <c r="K256" s="17"/>
      <c r="L256" s="17" t="str">
        <f>IF(K256="","",IFERROR(VLOOKUP(K256,COA!A:B,2,FALSE),"-"))</f>
        <v/>
      </c>
      <c r="M256" s="17"/>
      <c r="N256" s="17" t="str">
        <f>IF(M256="","",IFERROR(VLOOKUP(M256,COA!A:B,2,FALSE),"-"))</f>
        <v/>
      </c>
    </row>
    <row r="257">
      <c r="A257" s="43"/>
      <c r="C257" s="17"/>
      <c r="G257" s="17"/>
      <c r="H257" s="22"/>
      <c r="I257" s="20" t="str">
        <f t="shared" si="1"/>
        <v/>
      </c>
      <c r="J257" s="17"/>
      <c r="K257" s="17"/>
      <c r="L257" s="17" t="str">
        <f>IF(K257="","",IFERROR(VLOOKUP(K257,COA!A:B,2,FALSE),"-"))</f>
        <v/>
      </c>
      <c r="M257" s="17"/>
      <c r="N257" s="17" t="str">
        <f>IF(M257="","",IFERROR(VLOOKUP(M257,COA!A:B,2,FALSE),"-"))</f>
        <v/>
      </c>
    </row>
    <row r="258">
      <c r="A258" s="43"/>
      <c r="C258" s="17"/>
      <c r="G258" s="17"/>
      <c r="H258" s="22"/>
      <c r="I258" s="20" t="str">
        <f t="shared" si="1"/>
        <v/>
      </c>
      <c r="J258" s="17"/>
      <c r="K258" s="17"/>
      <c r="L258" s="17" t="str">
        <f>IF(K258="","",IFERROR(VLOOKUP(K258,COA!A:B,2,FALSE),"-"))</f>
        <v/>
      </c>
      <c r="M258" s="17"/>
      <c r="N258" s="17" t="str">
        <f>IF(M258="","",IFERROR(VLOOKUP(M258,COA!A:B,2,FALSE),"-"))</f>
        <v/>
      </c>
    </row>
    <row r="259">
      <c r="A259" s="43"/>
      <c r="C259" s="17"/>
      <c r="G259" s="17"/>
      <c r="H259" s="22"/>
      <c r="I259" s="20" t="str">
        <f t="shared" si="1"/>
        <v/>
      </c>
      <c r="J259" s="17"/>
      <c r="K259" s="17"/>
      <c r="L259" s="17" t="str">
        <f>IF(K259="","",IFERROR(VLOOKUP(K259,COA!A:B,2,FALSE),"-"))</f>
        <v/>
      </c>
      <c r="M259" s="17"/>
      <c r="N259" s="17" t="str">
        <f>IF(M259="","",IFERROR(VLOOKUP(M259,COA!A:B,2,FALSE),"-"))</f>
        <v/>
      </c>
    </row>
    <row r="260">
      <c r="A260" s="43"/>
      <c r="C260" s="17"/>
      <c r="G260" s="17"/>
      <c r="H260" s="22"/>
      <c r="I260" s="20" t="str">
        <f t="shared" si="1"/>
        <v/>
      </c>
      <c r="J260" s="17"/>
      <c r="K260" s="17"/>
      <c r="L260" s="17" t="str">
        <f>IF(K260="","",IFERROR(VLOOKUP(K260,COA!A:B,2,FALSE),"-"))</f>
        <v/>
      </c>
      <c r="M260" s="17"/>
      <c r="N260" s="17" t="str">
        <f>IF(M260="","",IFERROR(VLOOKUP(M260,COA!A:B,2,FALSE),"-"))</f>
        <v/>
      </c>
    </row>
    <row r="261">
      <c r="A261" s="43"/>
      <c r="C261" s="17"/>
      <c r="G261" s="17"/>
      <c r="H261" s="22"/>
      <c r="I261" s="20" t="str">
        <f t="shared" si="1"/>
        <v/>
      </c>
      <c r="J261" s="17"/>
      <c r="K261" s="17"/>
      <c r="L261" s="17" t="str">
        <f>IF(K261="","",IFERROR(VLOOKUP(K261,COA!A:B,2,FALSE),"-"))</f>
        <v/>
      </c>
      <c r="M261" s="17"/>
      <c r="N261" s="17" t="str">
        <f>IF(M261="","",IFERROR(VLOOKUP(M261,COA!A:B,2,FALSE),"-"))</f>
        <v/>
      </c>
    </row>
    <row r="262">
      <c r="A262" s="43"/>
      <c r="C262" s="17"/>
      <c r="G262" s="17"/>
      <c r="H262" s="22"/>
      <c r="I262" s="20" t="str">
        <f t="shared" si="1"/>
        <v/>
      </c>
      <c r="J262" s="17"/>
      <c r="K262" s="17"/>
      <c r="L262" s="17" t="str">
        <f>IF(K262="","",IFERROR(VLOOKUP(K262,COA!A:B,2,FALSE),"-"))</f>
        <v/>
      </c>
      <c r="M262" s="17"/>
      <c r="N262" s="17" t="str">
        <f>IF(M262="","",IFERROR(VLOOKUP(M262,COA!A:B,2,FALSE),"-"))</f>
        <v/>
      </c>
    </row>
    <row r="263">
      <c r="A263" s="43"/>
      <c r="C263" s="17"/>
      <c r="G263" s="17"/>
      <c r="H263" s="22"/>
      <c r="I263" s="20" t="str">
        <f t="shared" si="1"/>
        <v/>
      </c>
      <c r="J263" s="17"/>
      <c r="K263" s="17"/>
      <c r="L263" s="17" t="str">
        <f>IF(K263="","",IFERROR(VLOOKUP(K263,COA!A:B,2,FALSE),"-"))</f>
        <v/>
      </c>
      <c r="M263" s="17"/>
      <c r="N263" s="17" t="str">
        <f>IF(M263="","",IFERROR(VLOOKUP(M263,COA!A:B,2,FALSE),"-"))</f>
        <v/>
      </c>
    </row>
    <row r="264">
      <c r="A264" s="43"/>
      <c r="C264" s="17"/>
      <c r="G264" s="17"/>
      <c r="H264" s="22"/>
      <c r="I264" s="20" t="str">
        <f t="shared" si="1"/>
        <v/>
      </c>
      <c r="J264" s="17"/>
      <c r="K264" s="17"/>
      <c r="L264" s="17" t="str">
        <f>IF(K264="","",IFERROR(VLOOKUP(K264,COA!A:B,2,FALSE),"-"))</f>
        <v/>
      </c>
      <c r="M264" s="17"/>
      <c r="N264" s="17" t="str">
        <f>IF(M264="","",IFERROR(VLOOKUP(M264,COA!A:B,2,FALSE),"-"))</f>
        <v/>
      </c>
    </row>
    <row r="265">
      <c r="A265" s="43"/>
      <c r="C265" s="17"/>
      <c r="G265" s="17"/>
      <c r="H265" s="22"/>
      <c r="I265" s="20" t="str">
        <f t="shared" si="1"/>
        <v/>
      </c>
      <c r="J265" s="17"/>
      <c r="K265" s="17"/>
      <c r="L265" s="17" t="str">
        <f>IF(K265="","",IFERROR(VLOOKUP(K265,COA!A:B,2,FALSE),"-"))</f>
        <v/>
      </c>
      <c r="M265" s="17"/>
      <c r="N265" s="17" t="str">
        <f>IF(M265="","",IFERROR(VLOOKUP(M265,COA!A:B,2,FALSE),"-"))</f>
        <v/>
      </c>
    </row>
    <row r="266">
      <c r="A266" s="43"/>
      <c r="C266" s="17"/>
      <c r="G266" s="17"/>
      <c r="H266" s="22"/>
      <c r="I266" s="20" t="str">
        <f t="shared" si="1"/>
        <v/>
      </c>
      <c r="J266" s="17"/>
      <c r="K266" s="17"/>
      <c r="L266" s="17" t="str">
        <f>IF(K266="","",IFERROR(VLOOKUP(K266,COA!A:B,2,FALSE),"-"))</f>
        <v/>
      </c>
      <c r="M266" s="17"/>
      <c r="N266" s="17" t="str">
        <f>IF(M266="","",IFERROR(VLOOKUP(M266,COA!A:B,2,FALSE),"-"))</f>
        <v/>
      </c>
    </row>
    <row r="267">
      <c r="A267" s="43"/>
      <c r="C267" s="17"/>
      <c r="G267" s="17"/>
      <c r="H267" s="22"/>
      <c r="I267" s="20" t="str">
        <f t="shared" si="1"/>
        <v/>
      </c>
      <c r="J267" s="17"/>
      <c r="K267" s="17"/>
      <c r="L267" s="17" t="str">
        <f>IF(K267="","",IFERROR(VLOOKUP(K267,COA!A:B,2,FALSE),"-"))</f>
        <v/>
      </c>
      <c r="M267" s="17"/>
      <c r="N267" s="17" t="str">
        <f>IF(M267="","",IFERROR(VLOOKUP(M267,COA!A:B,2,FALSE),"-"))</f>
        <v/>
      </c>
    </row>
    <row r="268">
      <c r="A268" s="43"/>
      <c r="C268" s="17"/>
      <c r="G268" s="17"/>
      <c r="H268" s="22"/>
      <c r="I268" s="20" t="str">
        <f t="shared" si="1"/>
        <v/>
      </c>
      <c r="J268" s="17"/>
      <c r="K268" s="17"/>
      <c r="L268" s="17" t="str">
        <f>IF(K268="","",IFERROR(VLOOKUP(K268,COA!A:B,2,FALSE),"-"))</f>
        <v/>
      </c>
      <c r="M268" s="17"/>
      <c r="N268" s="17" t="str">
        <f>IF(M268="","",IFERROR(VLOOKUP(M268,COA!A:B,2,FALSE),"-"))</f>
        <v/>
      </c>
    </row>
    <row r="269">
      <c r="A269" s="43"/>
      <c r="C269" s="17"/>
      <c r="G269" s="17"/>
      <c r="H269" s="22"/>
      <c r="I269" s="20" t="str">
        <f t="shared" si="1"/>
        <v/>
      </c>
      <c r="J269" s="17"/>
      <c r="K269" s="17"/>
      <c r="L269" s="17" t="str">
        <f>IF(K269="","",IFERROR(VLOOKUP(K269,COA!A:B,2,FALSE),"-"))</f>
        <v/>
      </c>
      <c r="M269" s="17"/>
      <c r="N269" s="17" t="str">
        <f>IF(M269="","",IFERROR(VLOOKUP(M269,COA!A:B,2,FALSE),"-"))</f>
        <v/>
      </c>
    </row>
    <row r="270">
      <c r="A270" s="43"/>
      <c r="C270" s="17"/>
      <c r="G270" s="17"/>
      <c r="H270" s="22"/>
      <c r="I270" s="20" t="str">
        <f t="shared" si="1"/>
        <v/>
      </c>
      <c r="J270" s="17"/>
      <c r="K270" s="17"/>
      <c r="L270" s="17" t="str">
        <f>IF(K270="","",IFERROR(VLOOKUP(K270,COA!A:B,2,FALSE),"-"))</f>
        <v/>
      </c>
      <c r="M270" s="17"/>
      <c r="N270" s="17" t="str">
        <f>IF(M270="","",IFERROR(VLOOKUP(M270,COA!A:B,2,FALSE),"-"))</f>
        <v/>
      </c>
    </row>
    <row r="271">
      <c r="A271" s="43"/>
      <c r="C271" s="17"/>
      <c r="G271" s="17"/>
      <c r="H271" s="22"/>
      <c r="I271" s="20" t="str">
        <f t="shared" si="1"/>
        <v/>
      </c>
      <c r="J271" s="17"/>
      <c r="K271" s="17"/>
      <c r="L271" s="17" t="str">
        <f>IF(K271="","",IFERROR(VLOOKUP(K271,COA!A:B,2,FALSE),"-"))</f>
        <v/>
      </c>
      <c r="M271" s="17"/>
      <c r="N271" s="17" t="str">
        <f>IF(M271="","",IFERROR(VLOOKUP(M271,COA!A:B,2,FALSE),"-"))</f>
        <v/>
      </c>
    </row>
    <row r="272">
      <c r="A272" s="43"/>
      <c r="C272" s="17"/>
      <c r="G272" s="17"/>
      <c r="H272" s="22"/>
      <c r="I272" s="20" t="str">
        <f t="shared" si="1"/>
        <v/>
      </c>
      <c r="J272" s="17"/>
      <c r="K272" s="17"/>
      <c r="L272" s="17" t="str">
        <f>IF(K272="","",IFERROR(VLOOKUP(K272,COA!A:B,2,FALSE),"-"))</f>
        <v/>
      </c>
      <c r="M272" s="17"/>
      <c r="N272" s="17" t="str">
        <f>IF(M272="","",IFERROR(VLOOKUP(M272,COA!A:B,2,FALSE),"-"))</f>
        <v/>
      </c>
    </row>
    <row r="273">
      <c r="A273" s="43"/>
      <c r="C273" s="17"/>
      <c r="G273" s="17"/>
      <c r="H273" s="22"/>
      <c r="I273" s="20" t="str">
        <f t="shared" si="1"/>
        <v/>
      </c>
      <c r="J273" s="17"/>
      <c r="K273" s="17"/>
      <c r="L273" s="17" t="str">
        <f>IF(K273="","",IFERROR(VLOOKUP(K273,COA!A:B,2,FALSE),"-"))</f>
        <v/>
      </c>
      <c r="M273" s="17"/>
      <c r="N273" s="17" t="str">
        <f>IF(M273="","",IFERROR(VLOOKUP(M273,COA!A:B,2,FALSE),"-"))</f>
        <v/>
      </c>
    </row>
    <row r="274">
      <c r="A274" s="43"/>
      <c r="C274" s="17"/>
      <c r="G274" s="17"/>
      <c r="H274" s="22"/>
      <c r="I274" s="20" t="str">
        <f t="shared" si="1"/>
        <v/>
      </c>
      <c r="J274" s="17"/>
      <c r="K274" s="17"/>
      <c r="L274" s="17" t="str">
        <f>IF(K274="","",IFERROR(VLOOKUP(K274,COA!A:B,2,FALSE),"-"))</f>
        <v/>
      </c>
      <c r="M274" s="17"/>
      <c r="N274" s="17" t="str">
        <f>IF(M274="","",IFERROR(VLOOKUP(M274,COA!A:B,2,FALSE),"-"))</f>
        <v/>
      </c>
    </row>
    <row r="275">
      <c r="A275" s="43"/>
      <c r="C275" s="17"/>
      <c r="G275" s="17"/>
      <c r="H275" s="22"/>
      <c r="I275" s="20" t="str">
        <f t="shared" si="1"/>
        <v/>
      </c>
      <c r="J275" s="17"/>
      <c r="K275" s="17"/>
      <c r="L275" s="17" t="str">
        <f>IF(K275="","",IFERROR(VLOOKUP(K275,COA!A:B,2,FALSE),"-"))</f>
        <v/>
      </c>
      <c r="M275" s="17"/>
      <c r="N275" s="17" t="str">
        <f>IF(M275="","",IFERROR(VLOOKUP(M275,COA!A:B,2,FALSE),"-"))</f>
        <v/>
      </c>
    </row>
    <row r="276">
      <c r="A276" s="43"/>
      <c r="C276" s="17"/>
      <c r="G276" s="17"/>
      <c r="H276" s="22"/>
      <c r="I276" s="20" t="str">
        <f t="shared" si="1"/>
        <v/>
      </c>
      <c r="J276" s="17"/>
      <c r="K276" s="17"/>
      <c r="L276" s="17" t="str">
        <f>IF(K276="","",IFERROR(VLOOKUP(K276,COA!A:B,2,FALSE),"-"))</f>
        <v/>
      </c>
      <c r="M276" s="17"/>
      <c r="N276" s="17" t="str">
        <f>IF(M276="","",IFERROR(VLOOKUP(M276,COA!A:B,2,FALSE),"-"))</f>
        <v/>
      </c>
    </row>
    <row r="277">
      <c r="A277" s="43"/>
      <c r="C277" s="17"/>
      <c r="G277" s="17"/>
      <c r="H277" s="22"/>
      <c r="I277" s="20" t="str">
        <f t="shared" si="1"/>
        <v/>
      </c>
      <c r="J277" s="17"/>
      <c r="K277" s="17"/>
      <c r="L277" s="17" t="str">
        <f>IF(K277="","",IFERROR(VLOOKUP(K277,COA!A:B,2,FALSE),"-"))</f>
        <v/>
      </c>
      <c r="M277" s="17"/>
      <c r="N277" s="17" t="str">
        <f>IF(M277="","",IFERROR(VLOOKUP(M277,COA!A:B,2,FALSE),"-"))</f>
        <v/>
      </c>
    </row>
    <row r="278">
      <c r="A278" s="43"/>
      <c r="C278" s="17"/>
      <c r="G278" s="17"/>
      <c r="H278" s="22"/>
      <c r="I278" s="20" t="str">
        <f t="shared" si="1"/>
        <v/>
      </c>
      <c r="J278" s="17"/>
      <c r="K278" s="17"/>
      <c r="L278" s="17" t="str">
        <f>IF(K278="","",IFERROR(VLOOKUP(K278,COA!A:B,2,FALSE),"-"))</f>
        <v/>
      </c>
      <c r="M278" s="17"/>
      <c r="N278" s="17" t="str">
        <f>IF(M278="","",IFERROR(VLOOKUP(M278,COA!A:B,2,FALSE),"-"))</f>
        <v/>
      </c>
    </row>
    <row r="279">
      <c r="A279" s="43"/>
      <c r="C279" s="17"/>
      <c r="G279" s="17"/>
      <c r="H279" s="22"/>
      <c r="I279" s="20" t="str">
        <f t="shared" si="1"/>
        <v/>
      </c>
      <c r="J279" s="17"/>
      <c r="K279" s="17"/>
      <c r="L279" s="17" t="str">
        <f>IF(K279="","",IFERROR(VLOOKUP(K279,COA!A:B,2,FALSE),"-"))</f>
        <v/>
      </c>
      <c r="M279" s="17"/>
      <c r="N279" s="17" t="str">
        <f>IF(M279="","",IFERROR(VLOOKUP(M279,COA!A:B,2,FALSE),"-"))</f>
        <v/>
      </c>
    </row>
    <row r="280">
      <c r="A280" s="43"/>
      <c r="C280" s="17"/>
      <c r="G280" s="17"/>
      <c r="H280" s="22"/>
      <c r="I280" s="20" t="str">
        <f t="shared" si="1"/>
        <v/>
      </c>
      <c r="J280" s="17"/>
      <c r="K280" s="17"/>
      <c r="L280" s="17" t="str">
        <f>IF(K280="","",IFERROR(VLOOKUP(K280,COA!A:B,2,FALSE),"-"))</f>
        <v/>
      </c>
      <c r="M280" s="17"/>
      <c r="N280" s="17" t="str">
        <f>IF(M280="","",IFERROR(VLOOKUP(M280,COA!A:B,2,FALSE),"-"))</f>
        <v/>
      </c>
    </row>
    <row r="281">
      <c r="A281" s="43"/>
      <c r="C281" s="17"/>
      <c r="G281" s="17"/>
      <c r="H281" s="22"/>
      <c r="I281" s="20" t="str">
        <f t="shared" si="1"/>
        <v/>
      </c>
      <c r="J281" s="17"/>
      <c r="K281" s="17"/>
      <c r="L281" s="17" t="str">
        <f>IF(K281="","",IFERROR(VLOOKUP(K281,COA!A:B,2,FALSE),"-"))</f>
        <v/>
      </c>
      <c r="M281" s="17"/>
      <c r="N281" s="17" t="str">
        <f>IF(M281="","",IFERROR(VLOOKUP(M281,COA!A:B,2,FALSE),"-"))</f>
        <v/>
      </c>
    </row>
    <row r="282">
      <c r="A282" s="43"/>
      <c r="C282" s="17"/>
      <c r="G282" s="17"/>
      <c r="H282" s="22"/>
      <c r="I282" s="20" t="str">
        <f t="shared" si="1"/>
        <v/>
      </c>
      <c r="J282" s="17"/>
      <c r="K282" s="17"/>
      <c r="L282" s="17" t="str">
        <f>IF(K282="","",IFERROR(VLOOKUP(K282,COA!A:B,2,FALSE),"-"))</f>
        <v/>
      </c>
      <c r="M282" s="17"/>
      <c r="N282" s="17" t="str">
        <f>IF(M282="","",IFERROR(VLOOKUP(M282,COA!A:B,2,FALSE),"-"))</f>
        <v/>
      </c>
    </row>
    <row r="283">
      <c r="A283" s="43"/>
      <c r="C283" s="17"/>
      <c r="G283" s="17"/>
      <c r="H283" s="22"/>
      <c r="I283" s="20" t="str">
        <f t="shared" si="1"/>
        <v/>
      </c>
      <c r="J283" s="17"/>
      <c r="K283" s="17"/>
      <c r="L283" s="17" t="str">
        <f>IF(K283="","",IFERROR(VLOOKUP(K283,COA!A:B,2,FALSE),"-"))</f>
        <v/>
      </c>
      <c r="M283" s="17"/>
      <c r="N283" s="17" t="str">
        <f>IF(M283="","",IFERROR(VLOOKUP(M283,COA!A:B,2,FALSE),"-"))</f>
        <v/>
      </c>
    </row>
    <row r="284">
      <c r="A284" s="43"/>
      <c r="C284" s="17"/>
      <c r="G284" s="17"/>
      <c r="H284" s="22"/>
      <c r="I284" s="20" t="str">
        <f t="shared" si="1"/>
        <v/>
      </c>
      <c r="J284" s="17"/>
      <c r="K284" s="17"/>
      <c r="L284" s="17" t="str">
        <f>IF(K284="","",IFERROR(VLOOKUP(K284,COA!A:B,2,FALSE),"-"))</f>
        <v/>
      </c>
      <c r="M284" s="17"/>
      <c r="N284" s="17" t="str">
        <f>IF(M284="","",IFERROR(VLOOKUP(M284,COA!A:B,2,FALSE),"-"))</f>
        <v/>
      </c>
    </row>
    <row r="285">
      <c r="A285" s="43"/>
      <c r="C285" s="17"/>
      <c r="G285" s="17"/>
      <c r="H285" s="22"/>
      <c r="I285" s="20" t="str">
        <f t="shared" si="1"/>
        <v/>
      </c>
      <c r="J285" s="17"/>
      <c r="K285" s="17"/>
      <c r="L285" s="17" t="str">
        <f>IF(K285="","",IFERROR(VLOOKUP(K285,COA!A:B,2,FALSE),"-"))</f>
        <v/>
      </c>
      <c r="M285" s="17"/>
      <c r="N285" s="17" t="str">
        <f>IF(M285="","",IFERROR(VLOOKUP(M285,COA!A:B,2,FALSE),"-"))</f>
        <v/>
      </c>
    </row>
    <row r="286">
      <c r="A286" s="43"/>
      <c r="C286" s="17"/>
      <c r="G286" s="17"/>
      <c r="H286" s="22"/>
      <c r="I286" s="20" t="str">
        <f t="shared" si="1"/>
        <v/>
      </c>
      <c r="J286" s="17"/>
      <c r="K286" s="17"/>
      <c r="L286" s="17" t="str">
        <f>IF(K286="","",IFERROR(VLOOKUP(K286,COA!A:B,2,FALSE),"-"))</f>
        <v/>
      </c>
      <c r="M286" s="17"/>
      <c r="N286" s="17" t="str">
        <f>IF(M286="","",IFERROR(VLOOKUP(M286,COA!A:B,2,FALSE),"-"))</f>
        <v/>
      </c>
    </row>
    <row r="287">
      <c r="A287" s="43"/>
      <c r="C287" s="17"/>
      <c r="G287" s="17"/>
      <c r="H287" s="22"/>
      <c r="I287" s="20" t="str">
        <f t="shared" si="1"/>
        <v/>
      </c>
      <c r="J287" s="17"/>
      <c r="K287" s="17"/>
      <c r="L287" s="17" t="str">
        <f>IF(K287="","",IFERROR(VLOOKUP(K287,COA!A:B,2,FALSE),"-"))</f>
        <v/>
      </c>
      <c r="M287" s="17"/>
      <c r="N287" s="17" t="str">
        <f>IF(M287="","",IFERROR(VLOOKUP(M287,COA!A:B,2,FALSE),"-"))</f>
        <v/>
      </c>
    </row>
    <row r="288">
      <c r="A288" s="43"/>
      <c r="C288" s="17"/>
      <c r="G288" s="17"/>
      <c r="H288" s="22"/>
      <c r="I288" s="20" t="str">
        <f t="shared" si="1"/>
        <v/>
      </c>
      <c r="J288" s="17"/>
      <c r="K288" s="17"/>
      <c r="L288" s="17" t="str">
        <f>IF(K288="","",IFERROR(VLOOKUP(K288,COA!A:B,2,FALSE),"-"))</f>
        <v/>
      </c>
      <c r="M288" s="17"/>
      <c r="N288" s="17" t="str">
        <f>IF(M288="","",IFERROR(VLOOKUP(M288,COA!A:B,2,FALSE),"-"))</f>
        <v/>
      </c>
    </row>
    <row r="289">
      <c r="A289" s="43"/>
      <c r="C289" s="17"/>
      <c r="G289" s="17"/>
      <c r="H289" s="22"/>
      <c r="I289" s="20" t="str">
        <f t="shared" si="1"/>
        <v/>
      </c>
      <c r="J289" s="17"/>
      <c r="K289" s="17"/>
      <c r="L289" s="17" t="str">
        <f>IF(K289="","",IFERROR(VLOOKUP(K289,COA!A:B,2,FALSE),"-"))</f>
        <v/>
      </c>
      <c r="M289" s="17"/>
      <c r="N289" s="17" t="str">
        <f>IF(M289="","",IFERROR(VLOOKUP(M289,COA!A:B,2,FALSE),"-"))</f>
        <v/>
      </c>
    </row>
    <row r="290">
      <c r="A290" s="43"/>
      <c r="C290" s="17"/>
      <c r="G290" s="17"/>
      <c r="H290" s="22"/>
      <c r="I290" s="20" t="str">
        <f t="shared" si="1"/>
        <v/>
      </c>
      <c r="J290" s="17"/>
      <c r="K290" s="17"/>
      <c r="L290" s="17" t="str">
        <f>IF(K290="","",IFERROR(VLOOKUP(K290,COA!A:B,2,FALSE),"-"))</f>
        <v/>
      </c>
      <c r="M290" s="17"/>
      <c r="N290" s="17" t="str">
        <f>IF(M290="","",IFERROR(VLOOKUP(M290,COA!A:B,2,FALSE),"-"))</f>
        <v/>
      </c>
    </row>
    <row r="291">
      <c r="A291" s="43"/>
      <c r="C291" s="17"/>
      <c r="G291" s="17"/>
      <c r="H291" s="22"/>
      <c r="I291" s="20" t="str">
        <f t="shared" si="1"/>
        <v/>
      </c>
      <c r="J291" s="17"/>
      <c r="K291" s="17"/>
      <c r="L291" s="17" t="str">
        <f>IF(K291="","",IFERROR(VLOOKUP(K291,COA!A:B,2,FALSE),"-"))</f>
        <v/>
      </c>
      <c r="M291" s="17"/>
      <c r="N291" s="17" t="str">
        <f>IF(M291="","",IFERROR(VLOOKUP(M291,COA!A:B,2,FALSE),"-"))</f>
        <v/>
      </c>
    </row>
    <row r="292">
      <c r="A292" s="43"/>
      <c r="C292" s="17"/>
      <c r="G292" s="17"/>
      <c r="H292" s="22"/>
      <c r="I292" s="20" t="str">
        <f t="shared" si="1"/>
        <v/>
      </c>
      <c r="J292" s="17"/>
      <c r="K292" s="17"/>
      <c r="L292" s="17" t="str">
        <f>IF(K292="","",IFERROR(VLOOKUP(K292,COA!A:B,2,FALSE),"-"))</f>
        <v/>
      </c>
      <c r="M292" s="17"/>
      <c r="N292" s="17" t="str">
        <f>IF(M292="","",IFERROR(VLOOKUP(M292,COA!A:B,2,FALSE),"-"))</f>
        <v/>
      </c>
    </row>
    <row r="293">
      <c r="A293" s="43"/>
      <c r="C293" s="17"/>
      <c r="G293" s="17"/>
      <c r="H293" s="22"/>
      <c r="I293" s="20" t="str">
        <f t="shared" si="1"/>
        <v/>
      </c>
      <c r="J293" s="17"/>
      <c r="K293" s="17"/>
      <c r="L293" s="17" t="str">
        <f>IF(K293="","",IFERROR(VLOOKUP(K293,COA!A:B,2,FALSE),"-"))</f>
        <v/>
      </c>
      <c r="M293" s="17"/>
      <c r="N293" s="17" t="str">
        <f>IF(M293="","",IFERROR(VLOOKUP(M293,COA!A:B,2,FALSE),"-"))</f>
        <v/>
      </c>
    </row>
    <row r="294">
      <c r="A294" s="43"/>
      <c r="C294" s="17"/>
      <c r="G294" s="17"/>
      <c r="H294" s="22"/>
      <c r="I294" s="20" t="str">
        <f t="shared" si="1"/>
        <v/>
      </c>
      <c r="J294" s="17"/>
      <c r="K294" s="17"/>
      <c r="L294" s="17" t="str">
        <f>IF(K294="","",IFERROR(VLOOKUP(K294,COA!A:B,2,FALSE),"-"))</f>
        <v/>
      </c>
      <c r="M294" s="17"/>
      <c r="N294" s="17" t="str">
        <f>IF(M294="","",IFERROR(VLOOKUP(M294,COA!A:B,2,FALSE),"-"))</f>
        <v/>
      </c>
    </row>
    <row r="295">
      <c r="A295" s="43"/>
      <c r="C295" s="17"/>
      <c r="G295" s="17"/>
      <c r="H295" s="22"/>
      <c r="I295" s="20" t="str">
        <f t="shared" si="1"/>
        <v/>
      </c>
      <c r="J295" s="17"/>
      <c r="K295" s="17"/>
      <c r="L295" s="17" t="str">
        <f>IF(K295="","",IFERROR(VLOOKUP(K295,COA!A:B,2,FALSE),"-"))</f>
        <v/>
      </c>
      <c r="M295" s="17"/>
      <c r="N295" s="17" t="str">
        <f>IF(M295="","",IFERROR(VLOOKUP(M295,COA!A:B,2,FALSE),"-"))</f>
        <v/>
      </c>
    </row>
    <row r="296">
      <c r="A296" s="43"/>
      <c r="C296" s="17"/>
      <c r="G296" s="17"/>
      <c r="H296" s="22"/>
      <c r="I296" s="20" t="str">
        <f t="shared" si="1"/>
        <v/>
      </c>
      <c r="J296" s="17"/>
      <c r="K296" s="17"/>
      <c r="L296" s="17" t="str">
        <f>IF(K296="","",IFERROR(VLOOKUP(K296,COA!A:B,2,FALSE),"-"))</f>
        <v/>
      </c>
      <c r="M296" s="17"/>
      <c r="N296" s="17" t="str">
        <f>IF(M296="","",IFERROR(VLOOKUP(M296,COA!A:B,2,FALSE),"-"))</f>
        <v/>
      </c>
    </row>
    <row r="297">
      <c r="A297" s="43"/>
      <c r="C297" s="17"/>
      <c r="G297" s="17"/>
      <c r="H297" s="22"/>
      <c r="I297" s="20" t="str">
        <f t="shared" si="1"/>
        <v/>
      </c>
      <c r="J297" s="17"/>
      <c r="K297" s="17"/>
      <c r="L297" s="17" t="str">
        <f>IF(K297="","",IFERROR(VLOOKUP(K297,COA!A:B,2,FALSE),"-"))</f>
        <v/>
      </c>
      <c r="M297" s="17"/>
      <c r="N297" s="17" t="str">
        <f>IF(M297="","",IFERROR(VLOOKUP(M297,COA!A:B,2,FALSE),"-"))</f>
        <v/>
      </c>
    </row>
    <row r="298">
      <c r="A298" s="43"/>
      <c r="C298" s="17"/>
      <c r="G298" s="17"/>
      <c r="H298" s="22"/>
      <c r="I298" s="20" t="str">
        <f t="shared" si="1"/>
        <v/>
      </c>
      <c r="J298" s="17"/>
      <c r="K298" s="17"/>
      <c r="L298" s="17" t="str">
        <f>IF(K298="","",IFERROR(VLOOKUP(K298,COA!A:B,2,FALSE),"-"))</f>
        <v/>
      </c>
      <c r="M298" s="17"/>
      <c r="N298" s="17" t="str">
        <f>IF(M298="","",IFERROR(VLOOKUP(M298,COA!A:B,2,FALSE),"-"))</f>
        <v/>
      </c>
    </row>
    <row r="299">
      <c r="A299" s="43"/>
      <c r="C299" s="17"/>
      <c r="G299" s="17"/>
      <c r="H299" s="22"/>
      <c r="I299" s="20" t="str">
        <f t="shared" si="1"/>
        <v/>
      </c>
      <c r="J299" s="17"/>
      <c r="K299" s="17"/>
      <c r="L299" s="17" t="str">
        <f>IF(K299="","",IFERROR(VLOOKUP(K299,COA!A:B,2,FALSE),"-"))</f>
        <v/>
      </c>
      <c r="M299" s="17"/>
      <c r="N299" s="17" t="str">
        <f>IF(M299="","",IFERROR(VLOOKUP(M299,COA!A:B,2,FALSE),"-"))</f>
        <v/>
      </c>
    </row>
    <row r="300">
      <c r="A300" s="43"/>
      <c r="C300" s="17"/>
      <c r="G300" s="17"/>
      <c r="H300" s="22"/>
      <c r="I300" s="20" t="str">
        <f t="shared" si="1"/>
        <v/>
      </c>
      <c r="J300" s="17"/>
      <c r="K300" s="17"/>
      <c r="L300" s="17" t="str">
        <f>IF(K300="","",IFERROR(VLOOKUP(K300,COA!A:B,2,FALSE),"-"))</f>
        <v/>
      </c>
      <c r="M300" s="17"/>
      <c r="N300" s="17" t="str">
        <f>IF(M300="","",IFERROR(VLOOKUP(M300,COA!A:B,2,FALSE),"-"))</f>
        <v/>
      </c>
    </row>
    <row r="301">
      <c r="A301" s="43"/>
      <c r="C301" s="17"/>
      <c r="G301" s="17"/>
      <c r="H301" s="22"/>
      <c r="I301" s="20" t="str">
        <f t="shared" si="1"/>
        <v/>
      </c>
      <c r="J301" s="17"/>
      <c r="K301" s="17"/>
      <c r="L301" s="17" t="str">
        <f>IF(K301="","",IFERROR(VLOOKUP(K301,COA!A:B,2,FALSE),"-"))</f>
        <v/>
      </c>
      <c r="M301" s="17"/>
      <c r="N301" s="17" t="str">
        <f>IF(M301="","",IFERROR(VLOOKUP(M301,COA!A:B,2,FALSE),"-"))</f>
        <v/>
      </c>
    </row>
    <row r="302">
      <c r="A302" s="43"/>
      <c r="C302" s="17"/>
      <c r="G302" s="17"/>
      <c r="H302" s="22"/>
      <c r="I302" s="20" t="str">
        <f t="shared" si="1"/>
        <v/>
      </c>
      <c r="J302" s="17"/>
      <c r="K302" s="17"/>
      <c r="L302" s="17" t="str">
        <f>IF(K302="","",IFERROR(VLOOKUP(K302,COA!A:B,2,FALSE),"-"))</f>
        <v/>
      </c>
      <c r="M302" s="17"/>
      <c r="N302" s="17" t="str">
        <f>IF(M302="","",IFERROR(VLOOKUP(M302,COA!A:B,2,FALSE),"-"))</f>
        <v/>
      </c>
    </row>
    <row r="303">
      <c r="A303" s="43"/>
      <c r="C303" s="17"/>
      <c r="G303" s="17"/>
      <c r="H303" s="22"/>
      <c r="I303" s="20" t="str">
        <f t="shared" si="1"/>
        <v/>
      </c>
      <c r="J303" s="17"/>
      <c r="K303" s="17"/>
      <c r="L303" s="17" t="str">
        <f>IF(K303="","",IFERROR(VLOOKUP(K303,COA!A:B,2,FALSE),"-"))</f>
        <v/>
      </c>
      <c r="M303" s="17"/>
      <c r="N303" s="17" t="str">
        <f>IF(M303="","",IFERROR(VLOOKUP(M303,COA!A:B,2,FALSE),"-"))</f>
        <v/>
      </c>
    </row>
    <row r="304">
      <c r="A304" s="43"/>
      <c r="C304" s="17"/>
      <c r="G304" s="17"/>
      <c r="H304" s="22"/>
      <c r="I304" s="20" t="str">
        <f t="shared" si="1"/>
        <v/>
      </c>
      <c r="J304" s="17"/>
      <c r="K304" s="17"/>
      <c r="L304" s="17" t="str">
        <f>IF(K304="","",IFERROR(VLOOKUP(K304,COA!A:B,2,FALSE),"-"))</f>
        <v/>
      </c>
      <c r="M304" s="17"/>
      <c r="N304" s="17" t="str">
        <f>IF(M304="","",IFERROR(VLOOKUP(M304,COA!A:B,2,FALSE),"-"))</f>
        <v/>
      </c>
    </row>
    <row r="305">
      <c r="A305" s="43"/>
      <c r="C305" s="17"/>
      <c r="G305" s="17"/>
      <c r="H305" s="22"/>
      <c r="I305" s="20" t="str">
        <f t="shared" si="1"/>
        <v/>
      </c>
      <c r="J305" s="17"/>
      <c r="K305" s="17"/>
      <c r="L305" s="17" t="str">
        <f>IF(K305="","",IFERROR(VLOOKUP(K305,COA!A:B,2,FALSE),"-"))</f>
        <v/>
      </c>
      <c r="M305" s="17"/>
      <c r="N305" s="17" t="str">
        <f>IF(M305="","",IFERROR(VLOOKUP(M305,COA!A:B,2,FALSE),"-"))</f>
        <v/>
      </c>
    </row>
    <row r="306">
      <c r="A306" s="43"/>
      <c r="C306" s="17"/>
      <c r="G306" s="17"/>
      <c r="H306" s="22"/>
      <c r="I306" s="20" t="str">
        <f t="shared" si="1"/>
        <v/>
      </c>
      <c r="J306" s="17"/>
      <c r="K306" s="17"/>
      <c r="L306" s="17" t="str">
        <f>IF(K306="","",IFERROR(VLOOKUP(K306,COA!A:B,2,FALSE),"-"))</f>
        <v/>
      </c>
      <c r="M306" s="17"/>
      <c r="N306" s="17" t="str">
        <f>IF(M306="","",IFERROR(VLOOKUP(M306,COA!A:B,2,FALSE),"-"))</f>
        <v/>
      </c>
    </row>
    <row r="307">
      <c r="A307" s="43"/>
      <c r="C307" s="17"/>
      <c r="G307" s="17"/>
      <c r="H307" s="22"/>
      <c r="I307" s="20" t="str">
        <f t="shared" si="1"/>
        <v/>
      </c>
      <c r="J307" s="17"/>
      <c r="K307" s="17"/>
      <c r="L307" s="17" t="str">
        <f>IF(K307="","",IFERROR(VLOOKUP(K307,COA!A:B,2,FALSE),"-"))</f>
        <v/>
      </c>
      <c r="M307" s="17"/>
      <c r="N307" s="17" t="str">
        <f>IF(M307="","",IFERROR(VLOOKUP(M307,COA!A:B,2,FALSE),"-"))</f>
        <v/>
      </c>
    </row>
    <row r="308">
      <c r="A308" s="43"/>
      <c r="C308" s="17"/>
      <c r="G308" s="17"/>
      <c r="H308" s="22"/>
      <c r="I308" s="20" t="str">
        <f t="shared" si="1"/>
        <v/>
      </c>
      <c r="J308" s="17"/>
      <c r="K308" s="17"/>
      <c r="L308" s="17" t="str">
        <f>IF(K308="","",IFERROR(VLOOKUP(K308,COA!A:B,2,FALSE),"-"))</f>
        <v/>
      </c>
      <c r="M308" s="17"/>
      <c r="N308" s="17" t="str">
        <f>IF(M308="","",IFERROR(VLOOKUP(M308,COA!A:B,2,FALSE),"-"))</f>
        <v/>
      </c>
    </row>
    <row r="309">
      <c r="A309" s="43"/>
      <c r="C309" s="17"/>
      <c r="G309" s="17"/>
      <c r="H309" s="22"/>
      <c r="I309" s="20" t="str">
        <f t="shared" si="1"/>
        <v/>
      </c>
      <c r="J309" s="17"/>
      <c r="K309" s="17"/>
      <c r="L309" s="17" t="str">
        <f>IF(K309="","",IFERROR(VLOOKUP(K309,COA!A:B,2,FALSE),"-"))</f>
        <v/>
      </c>
      <c r="M309" s="17"/>
      <c r="N309" s="17" t="str">
        <f>IF(M309="","",IFERROR(VLOOKUP(M309,COA!A:B,2,FALSE),"-"))</f>
        <v/>
      </c>
    </row>
    <row r="310">
      <c r="A310" s="43"/>
      <c r="C310" s="17"/>
      <c r="G310" s="17"/>
      <c r="H310" s="22"/>
      <c r="I310" s="20" t="str">
        <f t="shared" si="1"/>
        <v/>
      </c>
      <c r="J310" s="17"/>
      <c r="K310" s="17"/>
      <c r="L310" s="17" t="str">
        <f>IF(K310="","",IFERROR(VLOOKUP(K310,COA!A:B,2,FALSE),"-"))</f>
        <v/>
      </c>
      <c r="M310" s="17"/>
      <c r="N310" s="17" t="str">
        <f>IF(M310="","",IFERROR(VLOOKUP(M310,COA!A:B,2,FALSE),"-"))</f>
        <v/>
      </c>
    </row>
    <row r="311">
      <c r="A311" s="43"/>
      <c r="C311" s="17"/>
      <c r="G311" s="17"/>
      <c r="H311" s="22"/>
      <c r="I311" s="20" t="str">
        <f t="shared" si="1"/>
        <v/>
      </c>
      <c r="J311" s="17"/>
      <c r="K311" s="17"/>
      <c r="L311" s="17" t="str">
        <f>IF(K311="","",IFERROR(VLOOKUP(K311,COA!A:B,2,FALSE),"-"))</f>
        <v/>
      </c>
      <c r="M311" s="17"/>
      <c r="N311" s="17" t="str">
        <f>IF(M311="","",IFERROR(VLOOKUP(M311,COA!A:B,2,FALSE),"-"))</f>
        <v/>
      </c>
    </row>
    <row r="312">
      <c r="A312" s="43"/>
      <c r="C312" s="17"/>
      <c r="G312" s="17"/>
      <c r="H312" s="22"/>
      <c r="I312" s="20" t="str">
        <f t="shared" si="1"/>
        <v/>
      </c>
      <c r="J312" s="17"/>
      <c r="K312" s="17"/>
      <c r="L312" s="17" t="str">
        <f>IF(K312="","",IFERROR(VLOOKUP(K312,COA!A:B,2,FALSE),"-"))</f>
        <v/>
      </c>
      <c r="M312" s="17"/>
      <c r="N312" s="17" t="str">
        <f>IF(M312="","",IFERROR(VLOOKUP(M312,COA!A:B,2,FALSE),"-"))</f>
        <v/>
      </c>
    </row>
    <row r="313">
      <c r="A313" s="43"/>
      <c r="C313" s="17"/>
      <c r="G313" s="17"/>
      <c r="H313" s="22"/>
      <c r="I313" s="20" t="str">
        <f t="shared" si="1"/>
        <v/>
      </c>
      <c r="J313" s="17"/>
      <c r="K313" s="17"/>
      <c r="L313" s="17" t="str">
        <f>IF(K313="","",IFERROR(VLOOKUP(K313,COA!A:B,2,FALSE),"-"))</f>
        <v/>
      </c>
      <c r="M313" s="17"/>
      <c r="N313" s="17" t="str">
        <f>IF(M313="","",IFERROR(VLOOKUP(M313,COA!A:B,2,FALSE),"-"))</f>
        <v/>
      </c>
    </row>
    <row r="314">
      <c r="A314" s="43"/>
      <c r="C314" s="17"/>
      <c r="G314" s="17"/>
      <c r="H314" s="22"/>
      <c r="I314" s="20" t="str">
        <f t="shared" si="1"/>
        <v/>
      </c>
      <c r="J314" s="17"/>
      <c r="K314" s="17"/>
      <c r="L314" s="17" t="str">
        <f>IF(K314="","",IFERROR(VLOOKUP(K314,COA!A:B,2,FALSE),"-"))</f>
        <v/>
      </c>
      <c r="M314" s="17"/>
      <c r="N314" s="17" t="str">
        <f>IF(M314="","",IFERROR(VLOOKUP(M314,COA!A:B,2,FALSE),"-"))</f>
        <v/>
      </c>
    </row>
    <row r="315">
      <c r="A315" s="43"/>
      <c r="C315" s="17"/>
      <c r="G315" s="17"/>
      <c r="H315" s="22"/>
      <c r="I315" s="20" t="str">
        <f t="shared" si="1"/>
        <v/>
      </c>
      <c r="J315" s="17"/>
      <c r="K315" s="17"/>
      <c r="L315" s="17" t="str">
        <f>IF(K315="","",IFERROR(VLOOKUP(K315,COA!A:B,2,FALSE),"-"))</f>
        <v/>
      </c>
      <c r="M315" s="17"/>
      <c r="N315" s="17" t="str">
        <f>IF(M315="","",IFERROR(VLOOKUP(M315,COA!A:B,2,FALSE),"-"))</f>
        <v/>
      </c>
    </row>
    <row r="316">
      <c r="A316" s="43"/>
      <c r="C316" s="17"/>
      <c r="G316" s="17"/>
      <c r="H316" s="22"/>
      <c r="I316" s="20" t="str">
        <f t="shared" si="1"/>
        <v/>
      </c>
      <c r="J316" s="17"/>
      <c r="K316" s="17"/>
      <c r="L316" s="17" t="str">
        <f>IF(K316="","",IFERROR(VLOOKUP(K316,COA!A:B,2,FALSE),"-"))</f>
        <v/>
      </c>
      <c r="M316" s="17"/>
      <c r="N316" s="17" t="str">
        <f>IF(M316="","",IFERROR(VLOOKUP(M316,COA!A:B,2,FALSE),"-"))</f>
        <v/>
      </c>
    </row>
    <row r="317">
      <c r="A317" s="43"/>
      <c r="C317" s="17"/>
      <c r="G317" s="17"/>
      <c r="H317" s="22"/>
      <c r="I317" s="20" t="str">
        <f t="shared" si="1"/>
        <v/>
      </c>
      <c r="J317" s="17"/>
      <c r="K317" s="17"/>
      <c r="L317" s="17" t="str">
        <f>IF(K317="","",IFERROR(VLOOKUP(K317,COA!A:B,2,FALSE),"-"))</f>
        <v/>
      </c>
      <c r="M317" s="17"/>
      <c r="N317" s="17" t="str">
        <f>IF(M317="","",IFERROR(VLOOKUP(M317,COA!A:B,2,FALSE),"-"))</f>
        <v/>
      </c>
    </row>
    <row r="318">
      <c r="A318" s="43"/>
      <c r="C318" s="17"/>
      <c r="G318" s="17"/>
      <c r="H318" s="22"/>
      <c r="I318" s="20" t="str">
        <f t="shared" si="1"/>
        <v/>
      </c>
      <c r="J318" s="17"/>
      <c r="K318" s="17"/>
      <c r="L318" s="17" t="str">
        <f>IF(K318="","",IFERROR(VLOOKUP(K318,COA!A:B,2,FALSE),"-"))</f>
        <v/>
      </c>
      <c r="M318" s="17"/>
      <c r="N318" s="17" t="str">
        <f>IF(M318="","",IFERROR(VLOOKUP(M318,COA!A:B,2,FALSE),"-"))</f>
        <v/>
      </c>
    </row>
    <row r="319">
      <c r="A319" s="43"/>
      <c r="C319" s="17"/>
      <c r="G319" s="17"/>
      <c r="H319" s="22"/>
      <c r="I319" s="20" t="str">
        <f t="shared" si="1"/>
        <v/>
      </c>
      <c r="J319" s="17"/>
      <c r="K319" s="17"/>
      <c r="L319" s="17" t="str">
        <f>IF(K319="","",IFERROR(VLOOKUP(K319,COA!A:B,2,FALSE),"-"))</f>
        <v/>
      </c>
      <c r="M319" s="17"/>
      <c r="N319" s="17" t="str">
        <f>IF(M319="","",IFERROR(VLOOKUP(M319,COA!A:B,2,FALSE),"-"))</f>
        <v/>
      </c>
    </row>
    <row r="320">
      <c r="A320" s="43"/>
      <c r="C320" s="17"/>
      <c r="G320" s="17"/>
      <c r="H320" s="22"/>
      <c r="I320" s="20" t="str">
        <f t="shared" si="1"/>
        <v/>
      </c>
      <c r="J320" s="17"/>
      <c r="K320" s="17"/>
      <c r="L320" s="17" t="str">
        <f>IF(K320="","",IFERROR(VLOOKUP(K320,COA!A:B,2,FALSE),"-"))</f>
        <v/>
      </c>
      <c r="M320" s="17"/>
      <c r="N320" s="17" t="str">
        <f>IF(M320="","",IFERROR(VLOOKUP(M320,COA!A:B,2,FALSE),"-"))</f>
        <v/>
      </c>
    </row>
    <row r="321">
      <c r="A321" s="43"/>
      <c r="C321" s="17"/>
      <c r="G321" s="17"/>
      <c r="H321" s="22"/>
      <c r="I321" s="20" t="str">
        <f t="shared" si="1"/>
        <v/>
      </c>
      <c r="J321" s="17"/>
      <c r="K321" s="17"/>
      <c r="L321" s="17" t="str">
        <f>IF(K321="","",IFERROR(VLOOKUP(K321,COA!A:B,2,FALSE),"-"))</f>
        <v/>
      </c>
      <c r="M321" s="17"/>
      <c r="N321" s="17" t="str">
        <f>IF(M321="","",IFERROR(VLOOKUP(M321,COA!A:B,2,FALSE),"-"))</f>
        <v/>
      </c>
    </row>
    <row r="322">
      <c r="A322" s="43"/>
      <c r="C322" s="17"/>
      <c r="G322" s="17"/>
      <c r="H322" s="22"/>
      <c r="I322" s="20" t="str">
        <f t="shared" si="1"/>
        <v/>
      </c>
      <c r="J322" s="17"/>
      <c r="K322" s="17"/>
      <c r="L322" s="17" t="str">
        <f>IF(K322="","",IFERROR(VLOOKUP(K322,COA!A:B,2,FALSE),"-"))</f>
        <v/>
      </c>
      <c r="M322" s="17"/>
      <c r="N322" s="17" t="str">
        <f>IF(M322="","",IFERROR(VLOOKUP(M322,COA!A:B,2,FALSE),"-"))</f>
        <v/>
      </c>
    </row>
    <row r="323">
      <c r="A323" s="43"/>
      <c r="C323" s="17"/>
      <c r="G323" s="17"/>
      <c r="H323" s="22"/>
      <c r="I323" s="20" t="str">
        <f t="shared" si="1"/>
        <v/>
      </c>
      <c r="J323" s="17"/>
      <c r="K323" s="17"/>
      <c r="L323" s="17" t="str">
        <f>IF(K323="","",IFERROR(VLOOKUP(K323,COA!A:B,2,FALSE),"-"))</f>
        <v/>
      </c>
      <c r="M323" s="17"/>
      <c r="N323" s="17" t="str">
        <f>IF(M323="","",IFERROR(VLOOKUP(M323,COA!A:B,2,FALSE),"-"))</f>
        <v/>
      </c>
    </row>
    <row r="324">
      <c r="A324" s="43"/>
      <c r="C324" s="17"/>
      <c r="G324" s="17"/>
      <c r="H324" s="22"/>
      <c r="I324" s="20" t="str">
        <f t="shared" si="1"/>
        <v/>
      </c>
      <c r="J324" s="17"/>
      <c r="K324" s="17"/>
      <c r="L324" s="17" t="str">
        <f>IF(K324="","",IFERROR(VLOOKUP(K324,COA!A:B,2,FALSE),"-"))</f>
        <v/>
      </c>
      <c r="M324" s="17"/>
      <c r="N324" s="17" t="str">
        <f>IF(M324="","",IFERROR(VLOOKUP(M324,COA!A:B,2,FALSE),"-"))</f>
        <v/>
      </c>
    </row>
    <row r="325">
      <c r="A325" s="43"/>
      <c r="C325" s="17"/>
      <c r="G325" s="17"/>
      <c r="H325" s="22"/>
      <c r="I325" s="20" t="str">
        <f t="shared" si="1"/>
        <v/>
      </c>
      <c r="J325" s="17"/>
      <c r="K325" s="17"/>
      <c r="L325" s="17" t="str">
        <f>IF(K325="","",IFERROR(VLOOKUP(K325,COA!A:B,2,FALSE),"-"))</f>
        <v/>
      </c>
      <c r="M325" s="17"/>
      <c r="N325" s="17" t="str">
        <f>IF(M325="","",IFERROR(VLOOKUP(M325,COA!A:B,2,FALSE),"-"))</f>
        <v/>
      </c>
    </row>
    <row r="326">
      <c r="A326" s="43"/>
      <c r="C326" s="17"/>
      <c r="G326" s="17"/>
      <c r="H326" s="22"/>
      <c r="I326" s="20" t="str">
        <f t="shared" si="1"/>
        <v/>
      </c>
      <c r="J326" s="17"/>
      <c r="K326" s="17"/>
      <c r="L326" s="17" t="str">
        <f>IF(K326="","",IFERROR(VLOOKUP(K326,COA!A:B,2,FALSE),"-"))</f>
        <v/>
      </c>
      <c r="M326" s="17"/>
      <c r="N326" s="17" t="str">
        <f>IF(M326="","",IFERROR(VLOOKUP(M326,COA!A:B,2,FALSE),"-"))</f>
        <v/>
      </c>
    </row>
    <row r="327">
      <c r="A327" s="43"/>
      <c r="C327" s="17"/>
      <c r="G327" s="17"/>
      <c r="H327" s="22"/>
      <c r="I327" s="20" t="str">
        <f t="shared" si="1"/>
        <v/>
      </c>
      <c r="J327" s="17"/>
      <c r="K327" s="17"/>
      <c r="L327" s="17" t="str">
        <f>IF(K327="","",IFERROR(VLOOKUP(K327,COA!A:B,2,FALSE),"-"))</f>
        <v/>
      </c>
      <c r="M327" s="17"/>
      <c r="N327" s="17" t="str">
        <f>IF(M327="","",IFERROR(VLOOKUP(M327,COA!A:B,2,FALSE),"-"))</f>
        <v/>
      </c>
    </row>
    <row r="328">
      <c r="A328" s="43"/>
      <c r="C328" s="17"/>
      <c r="G328" s="17"/>
      <c r="H328" s="22"/>
      <c r="I328" s="20" t="str">
        <f t="shared" si="1"/>
        <v/>
      </c>
      <c r="J328" s="17"/>
      <c r="K328" s="17"/>
      <c r="L328" s="17" t="str">
        <f>IF(K328="","",IFERROR(VLOOKUP(K328,COA!A:B,2,FALSE),"-"))</f>
        <v/>
      </c>
      <c r="M328" s="17"/>
      <c r="N328" s="17" t="str">
        <f>IF(M328="","",IFERROR(VLOOKUP(M328,COA!A:B,2,FALSE),"-"))</f>
        <v/>
      </c>
    </row>
    <row r="329">
      <c r="A329" s="43"/>
      <c r="C329" s="17"/>
      <c r="G329" s="17"/>
      <c r="H329" s="22"/>
      <c r="I329" s="20" t="str">
        <f t="shared" si="1"/>
        <v/>
      </c>
      <c r="J329" s="17"/>
      <c r="K329" s="17"/>
      <c r="L329" s="17" t="str">
        <f>IF(K329="","",IFERROR(VLOOKUP(K329,COA!A:B,2,FALSE),"-"))</f>
        <v/>
      </c>
      <c r="M329" s="17"/>
      <c r="N329" s="17" t="str">
        <f>IF(M329="","",IFERROR(VLOOKUP(M329,COA!A:B,2,FALSE),"-"))</f>
        <v/>
      </c>
    </row>
    <row r="330">
      <c r="A330" s="43"/>
      <c r="C330" s="17"/>
      <c r="G330" s="17"/>
      <c r="H330" s="22"/>
      <c r="I330" s="20" t="str">
        <f t="shared" si="1"/>
        <v/>
      </c>
      <c r="J330" s="17"/>
      <c r="K330" s="17"/>
      <c r="L330" s="17" t="str">
        <f>IF(K330="","",IFERROR(VLOOKUP(K330,COA!A:B,2,FALSE),"-"))</f>
        <v/>
      </c>
      <c r="M330" s="17"/>
      <c r="N330" s="17" t="str">
        <f>IF(M330="","",IFERROR(VLOOKUP(M330,COA!A:B,2,FALSE),"-"))</f>
        <v/>
      </c>
    </row>
    <row r="331">
      <c r="A331" s="43"/>
      <c r="C331" s="17"/>
      <c r="G331" s="17"/>
      <c r="H331" s="22"/>
      <c r="I331" s="20" t="str">
        <f t="shared" si="1"/>
        <v/>
      </c>
      <c r="J331" s="17"/>
      <c r="K331" s="17"/>
      <c r="L331" s="17" t="str">
        <f>IF(K331="","",IFERROR(VLOOKUP(K331,COA!A:B,2,FALSE),"-"))</f>
        <v/>
      </c>
      <c r="M331" s="17"/>
      <c r="N331" s="17" t="str">
        <f>IF(M331="","",IFERROR(VLOOKUP(M331,COA!A:B,2,FALSE),"-"))</f>
        <v/>
      </c>
    </row>
    <row r="332">
      <c r="A332" s="43"/>
      <c r="C332" s="17"/>
      <c r="G332" s="17"/>
      <c r="H332" s="22"/>
      <c r="I332" s="20" t="str">
        <f t="shared" si="1"/>
        <v/>
      </c>
      <c r="J332" s="17"/>
      <c r="K332" s="17"/>
      <c r="L332" s="17" t="str">
        <f>IF(K332="","",IFERROR(VLOOKUP(K332,COA!A:B,2,FALSE),"-"))</f>
        <v/>
      </c>
      <c r="M332" s="17"/>
      <c r="N332" s="17" t="str">
        <f>IF(M332="","",IFERROR(VLOOKUP(M332,COA!A:B,2,FALSE),"-"))</f>
        <v/>
      </c>
    </row>
    <row r="333">
      <c r="A333" s="43"/>
      <c r="C333" s="17"/>
      <c r="G333" s="17"/>
      <c r="H333" s="22"/>
      <c r="I333" s="20" t="str">
        <f t="shared" si="1"/>
        <v/>
      </c>
      <c r="J333" s="17"/>
      <c r="K333" s="17"/>
      <c r="L333" s="17" t="str">
        <f>IF(K333="","",IFERROR(VLOOKUP(K333,COA!A:B,2,FALSE),"-"))</f>
        <v/>
      </c>
      <c r="M333" s="17"/>
      <c r="N333" s="17" t="str">
        <f>IF(M333="","",IFERROR(VLOOKUP(M333,COA!A:B,2,FALSE),"-"))</f>
        <v/>
      </c>
    </row>
    <row r="334">
      <c r="A334" s="43"/>
      <c r="C334" s="17"/>
      <c r="G334" s="17"/>
      <c r="H334" s="22"/>
      <c r="I334" s="20" t="str">
        <f t="shared" si="1"/>
        <v/>
      </c>
      <c r="J334" s="17"/>
      <c r="K334" s="17"/>
      <c r="L334" s="17" t="str">
        <f>IF(K334="","",IFERROR(VLOOKUP(K334,COA!A:B,2,FALSE),"-"))</f>
        <v/>
      </c>
      <c r="M334" s="17"/>
      <c r="N334" s="17" t="str">
        <f>IF(M334="","",IFERROR(VLOOKUP(M334,COA!A:B,2,FALSE),"-"))</f>
        <v/>
      </c>
    </row>
    <row r="335">
      <c r="A335" s="43"/>
      <c r="C335" s="17"/>
      <c r="G335" s="17"/>
      <c r="H335" s="22"/>
      <c r="I335" s="20" t="str">
        <f t="shared" si="1"/>
        <v/>
      </c>
      <c r="J335" s="17"/>
      <c r="K335" s="17"/>
      <c r="L335" s="17" t="str">
        <f>IF(K335="","",IFERROR(VLOOKUP(K335,COA!A:B,2,FALSE),"-"))</f>
        <v/>
      </c>
      <c r="M335" s="17"/>
      <c r="N335" s="17" t="str">
        <f>IF(M335="","",IFERROR(VLOOKUP(M335,COA!A:B,2,FALSE),"-"))</f>
        <v/>
      </c>
    </row>
    <row r="336">
      <c r="A336" s="43"/>
      <c r="C336" s="17"/>
      <c r="G336" s="17"/>
      <c r="H336" s="22"/>
      <c r="I336" s="20" t="str">
        <f t="shared" si="1"/>
        <v/>
      </c>
      <c r="J336" s="17"/>
      <c r="K336" s="17"/>
      <c r="L336" s="17" t="str">
        <f>IF(K336="","",IFERROR(VLOOKUP(K336,COA!A:B,2,FALSE),"-"))</f>
        <v/>
      </c>
      <c r="M336" s="17"/>
      <c r="N336" s="17" t="str">
        <f>IF(M336="","",IFERROR(VLOOKUP(M336,COA!A:B,2,FALSE),"-"))</f>
        <v/>
      </c>
    </row>
    <row r="337">
      <c r="A337" s="43"/>
      <c r="C337" s="17"/>
      <c r="G337" s="17"/>
      <c r="H337" s="22"/>
      <c r="I337" s="20" t="str">
        <f t="shared" si="1"/>
        <v/>
      </c>
      <c r="J337" s="17"/>
      <c r="K337" s="17"/>
      <c r="L337" s="17" t="str">
        <f>IF(K337="","",IFERROR(VLOOKUP(K337,COA!A:B,2,FALSE),"-"))</f>
        <v/>
      </c>
      <c r="M337" s="17"/>
      <c r="N337" s="17" t="str">
        <f>IF(M337="","",IFERROR(VLOOKUP(M337,COA!A:B,2,FALSE),"-"))</f>
        <v/>
      </c>
    </row>
    <row r="338">
      <c r="A338" s="43"/>
      <c r="C338" s="17"/>
      <c r="G338" s="17"/>
      <c r="H338" s="22"/>
      <c r="I338" s="20" t="str">
        <f t="shared" si="1"/>
        <v/>
      </c>
      <c r="J338" s="17"/>
      <c r="K338" s="17"/>
      <c r="L338" s="17" t="str">
        <f>IF(K338="","",IFERROR(VLOOKUP(K338,COA!A:B,2,FALSE),"-"))</f>
        <v/>
      </c>
      <c r="M338" s="17"/>
      <c r="N338" s="17" t="str">
        <f>IF(M338="","",IFERROR(VLOOKUP(M338,COA!A:B,2,FALSE),"-"))</f>
        <v/>
      </c>
    </row>
    <row r="339">
      <c r="A339" s="43"/>
      <c r="C339" s="17"/>
      <c r="G339" s="17"/>
      <c r="H339" s="22"/>
      <c r="I339" s="20" t="str">
        <f t="shared" si="1"/>
        <v/>
      </c>
      <c r="J339" s="17"/>
      <c r="K339" s="17"/>
      <c r="L339" s="17" t="str">
        <f>IF(K339="","",IFERROR(VLOOKUP(K339,COA!A:B,2,FALSE),"-"))</f>
        <v/>
      </c>
      <c r="M339" s="17"/>
      <c r="N339" s="17" t="str">
        <f>IF(M339="","",IFERROR(VLOOKUP(M339,COA!A:B,2,FALSE),"-"))</f>
        <v/>
      </c>
    </row>
    <row r="340">
      <c r="A340" s="43"/>
      <c r="C340" s="17"/>
      <c r="G340" s="17"/>
      <c r="H340" s="22"/>
      <c r="I340" s="20" t="str">
        <f t="shared" si="1"/>
        <v/>
      </c>
      <c r="J340" s="17"/>
      <c r="K340" s="17"/>
      <c r="L340" s="17" t="str">
        <f>IF(K340="","",IFERROR(VLOOKUP(K340,COA!A:B,2,FALSE),"-"))</f>
        <v/>
      </c>
      <c r="M340" s="17"/>
      <c r="N340" s="17" t="str">
        <f>IF(M340="","",IFERROR(VLOOKUP(M340,COA!A:B,2,FALSE),"-"))</f>
        <v/>
      </c>
    </row>
    <row r="341">
      <c r="A341" s="43"/>
      <c r="C341" s="17"/>
      <c r="G341" s="17"/>
      <c r="H341" s="22"/>
      <c r="I341" s="20" t="str">
        <f t="shared" si="1"/>
        <v/>
      </c>
      <c r="J341" s="17"/>
      <c r="K341" s="17"/>
      <c r="L341" s="17" t="str">
        <f>IF(K341="","",IFERROR(VLOOKUP(K341,COA!A:B,2,FALSE),"-"))</f>
        <v/>
      </c>
      <c r="M341" s="17"/>
      <c r="N341" s="17" t="str">
        <f>IF(M341="","",IFERROR(VLOOKUP(M341,COA!A:B,2,FALSE),"-"))</f>
        <v/>
      </c>
    </row>
    <row r="342">
      <c r="A342" s="43"/>
      <c r="C342" s="17"/>
      <c r="G342" s="17"/>
      <c r="H342" s="22"/>
      <c r="I342" s="20" t="str">
        <f t="shared" si="1"/>
        <v/>
      </c>
      <c r="J342" s="17"/>
      <c r="K342" s="17"/>
      <c r="L342" s="17" t="str">
        <f>IF(K342="","",IFERROR(VLOOKUP(K342,COA!A:B,2,FALSE),"-"))</f>
        <v/>
      </c>
      <c r="M342" s="17"/>
      <c r="N342" s="17" t="str">
        <f>IF(M342="","",IFERROR(VLOOKUP(M342,COA!A:B,2,FALSE),"-"))</f>
        <v/>
      </c>
    </row>
    <row r="343">
      <c r="A343" s="43"/>
      <c r="C343" s="17"/>
      <c r="G343" s="17"/>
      <c r="H343" s="22"/>
      <c r="I343" s="20" t="str">
        <f t="shared" si="1"/>
        <v/>
      </c>
      <c r="J343" s="17"/>
      <c r="K343" s="17"/>
      <c r="L343" s="17" t="str">
        <f>IF(K343="","",IFERROR(VLOOKUP(K343,COA!A:B,2,FALSE),"-"))</f>
        <v/>
      </c>
      <c r="M343" s="17"/>
      <c r="N343" s="17" t="str">
        <f>IF(M343="","",IFERROR(VLOOKUP(M343,COA!A:B,2,FALSE),"-"))</f>
        <v/>
      </c>
    </row>
    <row r="344">
      <c r="A344" s="43"/>
      <c r="C344" s="17"/>
      <c r="G344" s="17"/>
      <c r="H344" s="22"/>
      <c r="I344" s="20" t="str">
        <f t="shared" si="1"/>
        <v/>
      </c>
      <c r="J344" s="17"/>
      <c r="K344" s="17"/>
      <c r="L344" s="17" t="str">
        <f>IF(K344="","",IFERROR(VLOOKUP(K344,COA!A:B,2,FALSE),"-"))</f>
        <v/>
      </c>
      <c r="M344" s="17"/>
      <c r="N344" s="17" t="str">
        <f>IF(M344="","",IFERROR(VLOOKUP(M344,COA!A:B,2,FALSE),"-"))</f>
        <v/>
      </c>
    </row>
    <row r="345">
      <c r="A345" s="43"/>
      <c r="C345" s="17"/>
      <c r="G345" s="17"/>
      <c r="H345" s="22"/>
      <c r="I345" s="20" t="str">
        <f t="shared" si="1"/>
        <v/>
      </c>
      <c r="J345" s="17"/>
      <c r="K345" s="17"/>
      <c r="L345" s="17" t="str">
        <f>IF(K345="","",IFERROR(VLOOKUP(K345,COA!A:B,2,FALSE),"-"))</f>
        <v/>
      </c>
      <c r="M345" s="17"/>
      <c r="N345" s="17" t="str">
        <f>IF(M345="","",IFERROR(VLOOKUP(M345,COA!A:B,2,FALSE),"-"))</f>
        <v/>
      </c>
    </row>
    <row r="346">
      <c r="A346" s="43"/>
      <c r="C346" s="17"/>
      <c r="G346" s="17"/>
      <c r="H346" s="22"/>
      <c r="I346" s="20" t="str">
        <f t="shared" si="1"/>
        <v/>
      </c>
      <c r="J346" s="17"/>
      <c r="K346" s="17"/>
      <c r="L346" s="17" t="str">
        <f>IF(K346="","",IFERROR(VLOOKUP(K346,COA!A:B,2,FALSE),"-"))</f>
        <v/>
      </c>
      <c r="M346" s="17"/>
      <c r="N346" s="17" t="str">
        <f>IF(M346="","",IFERROR(VLOOKUP(M346,COA!A:B,2,FALSE),"-"))</f>
        <v/>
      </c>
    </row>
    <row r="347">
      <c r="A347" s="43"/>
      <c r="C347" s="17"/>
      <c r="G347" s="17"/>
      <c r="H347" s="22"/>
      <c r="I347" s="20" t="str">
        <f t="shared" si="1"/>
        <v/>
      </c>
      <c r="J347" s="17"/>
      <c r="K347" s="17"/>
      <c r="L347" s="17" t="str">
        <f>IF(K347="","",IFERROR(VLOOKUP(K347,COA!A:B,2,FALSE),"-"))</f>
        <v/>
      </c>
      <c r="M347" s="17"/>
      <c r="N347" s="17" t="str">
        <f>IF(M347="","",IFERROR(VLOOKUP(M347,COA!A:B,2,FALSE),"-"))</f>
        <v/>
      </c>
    </row>
    <row r="348">
      <c r="A348" s="43"/>
      <c r="C348" s="17"/>
      <c r="G348" s="17"/>
      <c r="H348" s="22"/>
      <c r="I348" s="20" t="str">
        <f t="shared" si="1"/>
        <v/>
      </c>
      <c r="J348" s="17"/>
      <c r="K348" s="17"/>
      <c r="L348" s="17" t="str">
        <f>IF(K348="","",IFERROR(VLOOKUP(K348,COA!A:B,2,FALSE),"-"))</f>
        <v/>
      </c>
      <c r="M348" s="17"/>
      <c r="N348" s="17" t="str">
        <f>IF(M348="","",IFERROR(VLOOKUP(M348,COA!A:B,2,FALSE),"-"))</f>
        <v/>
      </c>
    </row>
    <row r="349">
      <c r="A349" s="43"/>
      <c r="C349" s="17"/>
      <c r="G349" s="17"/>
      <c r="H349" s="22"/>
      <c r="I349" s="20" t="str">
        <f t="shared" si="1"/>
        <v/>
      </c>
      <c r="J349" s="17"/>
      <c r="K349" s="17"/>
      <c r="L349" s="17" t="str">
        <f>IF(K349="","",IFERROR(VLOOKUP(K349,COA!A:B,2,FALSE),"-"))</f>
        <v/>
      </c>
      <c r="M349" s="17"/>
      <c r="N349" s="17" t="str">
        <f>IF(M349="","",IFERROR(VLOOKUP(M349,COA!A:B,2,FALSE),"-"))</f>
        <v/>
      </c>
    </row>
    <row r="350">
      <c r="A350" s="43"/>
      <c r="C350" s="17"/>
      <c r="G350" s="17"/>
      <c r="H350" s="22"/>
      <c r="I350" s="20" t="str">
        <f t="shared" si="1"/>
        <v/>
      </c>
      <c r="J350" s="17"/>
      <c r="K350" s="17"/>
      <c r="L350" s="17" t="str">
        <f>IF(K350="","",IFERROR(VLOOKUP(K350,COA!A:B,2,FALSE),"-"))</f>
        <v/>
      </c>
      <c r="M350" s="17"/>
      <c r="N350" s="17" t="str">
        <f>IF(M350="","",IFERROR(VLOOKUP(M350,COA!A:B,2,FALSE),"-"))</f>
        <v/>
      </c>
    </row>
    <row r="351">
      <c r="A351" s="43"/>
      <c r="C351" s="17"/>
      <c r="G351" s="17"/>
      <c r="H351" s="22"/>
      <c r="I351" s="20" t="str">
        <f t="shared" si="1"/>
        <v/>
      </c>
      <c r="J351" s="17"/>
      <c r="K351" s="17"/>
      <c r="L351" s="17" t="str">
        <f>IF(K351="","",IFERROR(VLOOKUP(K351,COA!A:B,2,FALSE),"-"))</f>
        <v/>
      </c>
      <c r="M351" s="17"/>
      <c r="N351" s="17" t="str">
        <f>IF(M351="","",IFERROR(VLOOKUP(M351,COA!A:B,2,FALSE),"-"))</f>
        <v/>
      </c>
    </row>
    <row r="352">
      <c r="A352" s="43"/>
      <c r="C352" s="17"/>
      <c r="G352" s="17"/>
      <c r="H352" s="22"/>
      <c r="I352" s="20" t="str">
        <f t="shared" si="1"/>
        <v/>
      </c>
      <c r="J352" s="17"/>
      <c r="K352" s="17"/>
      <c r="L352" s="17" t="str">
        <f>IF(K352="","",IFERROR(VLOOKUP(K352,COA!A:B,2,FALSE),"-"))</f>
        <v/>
      </c>
      <c r="M352" s="17"/>
      <c r="N352" s="17" t="str">
        <f>IF(M352="","",IFERROR(VLOOKUP(M352,COA!A:B,2,FALSE),"-"))</f>
        <v/>
      </c>
    </row>
    <row r="353">
      <c r="A353" s="43"/>
      <c r="C353" s="17"/>
      <c r="G353" s="17"/>
      <c r="H353" s="22"/>
      <c r="I353" s="20" t="str">
        <f t="shared" si="1"/>
        <v/>
      </c>
      <c r="J353" s="17"/>
      <c r="K353" s="17"/>
      <c r="L353" s="17" t="str">
        <f>IF(K353="","",IFERROR(VLOOKUP(K353,COA!A:B,2,FALSE),"-"))</f>
        <v/>
      </c>
      <c r="M353" s="17"/>
      <c r="N353" s="17" t="str">
        <f>IF(M353="","",IFERROR(VLOOKUP(M353,COA!A:B,2,FALSE),"-"))</f>
        <v/>
      </c>
    </row>
    <row r="354">
      <c r="A354" s="43"/>
      <c r="C354" s="17"/>
      <c r="G354" s="17"/>
      <c r="H354" s="22"/>
      <c r="I354" s="20" t="str">
        <f t="shared" si="1"/>
        <v/>
      </c>
      <c r="J354" s="17"/>
      <c r="K354" s="17"/>
      <c r="L354" s="17" t="str">
        <f>IF(K354="","",IFERROR(VLOOKUP(K354,COA!A:B,2,FALSE),"-"))</f>
        <v/>
      </c>
      <c r="M354" s="17"/>
      <c r="N354" s="17" t="str">
        <f>IF(M354="","",IFERROR(VLOOKUP(M354,COA!A:B,2,FALSE),"-"))</f>
        <v/>
      </c>
    </row>
    <row r="355">
      <c r="A355" s="43"/>
      <c r="C355" s="17"/>
      <c r="G355" s="17"/>
      <c r="H355" s="22"/>
      <c r="I355" s="20" t="str">
        <f t="shared" si="1"/>
        <v/>
      </c>
      <c r="J355" s="17"/>
      <c r="K355" s="17"/>
      <c r="L355" s="17" t="str">
        <f>IF(K355="","",IFERROR(VLOOKUP(K355,COA!A:B,2,FALSE),"-"))</f>
        <v/>
      </c>
      <c r="M355" s="17"/>
      <c r="N355" s="17" t="str">
        <f>IF(M355="","",IFERROR(VLOOKUP(M355,COA!A:B,2,FALSE),"-"))</f>
        <v/>
      </c>
    </row>
    <row r="356">
      <c r="A356" s="43"/>
      <c r="C356" s="17"/>
      <c r="G356" s="17"/>
      <c r="H356" s="22"/>
      <c r="I356" s="20" t="str">
        <f t="shared" si="1"/>
        <v/>
      </c>
      <c r="J356" s="17"/>
      <c r="K356" s="17"/>
      <c r="L356" s="17" t="str">
        <f>IF(K356="","",IFERROR(VLOOKUP(K356,COA!A:B,2,FALSE),"-"))</f>
        <v/>
      </c>
      <c r="M356" s="17"/>
      <c r="N356" s="17" t="str">
        <f>IF(M356="","",IFERROR(VLOOKUP(M356,COA!A:B,2,FALSE),"-"))</f>
        <v/>
      </c>
    </row>
    <row r="357">
      <c r="A357" s="43"/>
      <c r="C357" s="17"/>
      <c r="G357" s="17"/>
      <c r="H357" s="22"/>
      <c r="I357" s="20" t="str">
        <f t="shared" si="1"/>
        <v/>
      </c>
      <c r="J357" s="17"/>
      <c r="K357" s="17"/>
      <c r="L357" s="17" t="str">
        <f>IF(K357="","",IFERROR(VLOOKUP(K357,COA!A:B,2,FALSE),"-"))</f>
        <v/>
      </c>
      <c r="M357" s="17"/>
      <c r="N357" s="17" t="str">
        <f>IF(M357="","",IFERROR(VLOOKUP(M357,COA!A:B,2,FALSE),"-"))</f>
        <v/>
      </c>
    </row>
    <row r="358">
      <c r="A358" s="43"/>
      <c r="C358" s="17"/>
      <c r="G358" s="17"/>
      <c r="H358" s="22"/>
      <c r="I358" s="20" t="str">
        <f t="shared" si="1"/>
        <v/>
      </c>
      <c r="J358" s="17"/>
      <c r="K358" s="17"/>
      <c r="L358" s="17" t="str">
        <f>IF(K358="","",IFERROR(VLOOKUP(K358,COA!A:B,2,FALSE),"-"))</f>
        <v/>
      </c>
      <c r="M358" s="17"/>
      <c r="N358" s="17" t="str">
        <f>IF(M358="","",IFERROR(VLOOKUP(M358,COA!A:B,2,FALSE),"-"))</f>
        <v/>
      </c>
    </row>
    <row r="359">
      <c r="A359" s="43"/>
      <c r="C359" s="17"/>
      <c r="G359" s="17"/>
      <c r="H359" s="22"/>
      <c r="I359" s="20" t="str">
        <f t="shared" si="1"/>
        <v/>
      </c>
      <c r="J359" s="17"/>
      <c r="K359" s="17"/>
      <c r="L359" s="17" t="str">
        <f>IF(K359="","",IFERROR(VLOOKUP(K359,COA!A:B,2,FALSE),"-"))</f>
        <v/>
      </c>
      <c r="M359" s="17"/>
      <c r="N359" s="17" t="str">
        <f>IF(M359="","",IFERROR(VLOOKUP(M359,COA!A:B,2,FALSE),"-"))</f>
        <v/>
      </c>
    </row>
    <row r="360">
      <c r="A360" s="43"/>
      <c r="C360" s="17"/>
      <c r="G360" s="17"/>
      <c r="H360" s="22"/>
      <c r="I360" s="20" t="str">
        <f t="shared" si="1"/>
        <v/>
      </c>
      <c r="J360" s="17"/>
      <c r="K360" s="17"/>
      <c r="L360" s="17" t="str">
        <f>IF(K360="","",IFERROR(VLOOKUP(K360,COA!A:B,2,FALSE),"-"))</f>
        <v/>
      </c>
      <c r="M360" s="17"/>
      <c r="N360" s="17" t="str">
        <f>IF(M360="","",IFERROR(VLOOKUP(M360,COA!A:B,2,FALSE),"-"))</f>
        <v/>
      </c>
    </row>
    <row r="361">
      <c r="A361" s="43"/>
      <c r="C361" s="17"/>
      <c r="G361" s="17"/>
      <c r="H361" s="22"/>
      <c r="I361" s="20" t="str">
        <f t="shared" si="1"/>
        <v/>
      </c>
      <c r="J361" s="17"/>
      <c r="K361" s="17"/>
      <c r="L361" s="17" t="str">
        <f>IF(K361="","",IFERROR(VLOOKUP(K361,COA!A:B,2,FALSE),"-"))</f>
        <v/>
      </c>
      <c r="M361" s="17"/>
      <c r="N361" s="17" t="str">
        <f>IF(M361="","",IFERROR(VLOOKUP(M361,COA!A:B,2,FALSE),"-"))</f>
        <v/>
      </c>
    </row>
    <row r="362">
      <c r="A362" s="43"/>
      <c r="C362" s="17"/>
      <c r="G362" s="17"/>
      <c r="H362" s="22"/>
      <c r="I362" s="20" t="str">
        <f t="shared" si="1"/>
        <v/>
      </c>
      <c r="J362" s="17"/>
      <c r="K362" s="17"/>
      <c r="L362" s="17" t="str">
        <f>IF(K362="","",IFERROR(VLOOKUP(K362,COA!A:B,2,FALSE),"-"))</f>
        <v/>
      </c>
      <c r="M362" s="17"/>
      <c r="N362" s="17" t="str">
        <f>IF(M362="","",IFERROR(VLOOKUP(M362,COA!A:B,2,FALSE),"-"))</f>
        <v/>
      </c>
    </row>
    <row r="363">
      <c r="A363" s="43"/>
      <c r="C363" s="17"/>
      <c r="G363" s="17"/>
      <c r="H363" s="22"/>
      <c r="I363" s="20" t="str">
        <f t="shared" si="1"/>
        <v/>
      </c>
      <c r="J363" s="17"/>
      <c r="K363" s="17"/>
      <c r="L363" s="17" t="str">
        <f>IF(K363="","",IFERROR(VLOOKUP(K363,COA!A:B,2,FALSE),"-"))</f>
        <v/>
      </c>
      <c r="M363" s="17"/>
      <c r="N363" s="17" t="str">
        <f>IF(M363="","",IFERROR(VLOOKUP(M363,COA!A:B,2,FALSE),"-"))</f>
        <v/>
      </c>
    </row>
    <row r="364">
      <c r="A364" s="43"/>
      <c r="C364" s="17"/>
      <c r="G364" s="17"/>
      <c r="H364" s="22"/>
      <c r="I364" s="20" t="str">
        <f t="shared" si="1"/>
        <v/>
      </c>
      <c r="J364" s="17"/>
      <c r="K364" s="17"/>
      <c r="L364" s="17" t="str">
        <f>IF(K364="","",IFERROR(VLOOKUP(K364,COA!A:B,2,FALSE),"-"))</f>
        <v/>
      </c>
      <c r="M364" s="17"/>
      <c r="N364" s="17" t="str">
        <f>IF(M364="","",IFERROR(VLOOKUP(M364,COA!A:B,2,FALSE),"-"))</f>
        <v/>
      </c>
    </row>
    <row r="365">
      <c r="A365" s="43"/>
      <c r="C365" s="17"/>
      <c r="G365" s="17"/>
      <c r="H365" s="22"/>
      <c r="I365" s="20" t="str">
        <f t="shared" si="1"/>
        <v/>
      </c>
      <c r="J365" s="17"/>
      <c r="K365" s="17"/>
      <c r="L365" s="17" t="str">
        <f>IF(K365="","",IFERROR(VLOOKUP(K365,COA!A:B,2,FALSE),"-"))</f>
        <v/>
      </c>
      <c r="M365" s="17"/>
      <c r="N365" s="17" t="str">
        <f>IF(M365="","",IFERROR(VLOOKUP(M365,COA!A:B,2,FALSE),"-"))</f>
        <v/>
      </c>
    </row>
    <row r="366">
      <c r="A366" s="43"/>
      <c r="C366" s="17"/>
      <c r="G366" s="17"/>
      <c r="H366" s="22"/>
      <c r="I366" s="20" t="str">
        <f t="shared" si="1"/>
        <v/>
      </c>
      <c r="J366" s="17"/>
      <c r="K366" s="17"/>
      <c r="L366" s="17" t="str">
        <f>IF(K366="","",IFERROR(VLOOKUP(K366,COA!A:B,2,FALSE),"-"))</f>
        <v/>
      </c>
      <c r="M366" s="17"/>
      <c r="N366" s="17" t="str">
        <f>IF(M366="","",IFERROR(VLOOKUP(M366,COA!A:B,2,FALSE),"-"))</f>
        <v/>
      </c>
    </row>
    <row r="367">
      <c r="A367" s="43"/>
      <c r="C367" s="17"/>
      <c r="G367" s="17"/>
      <c r="H367" s="22"/>
      <c r="I367" s="20" t="str">
        <f t="shared" si="1"/>
        <v/>
      </c>
      <c r="J367" s="17"/>
      <c r="K367" s="17"/>
      <c r="L367" s="17" t="str">
        <f>IF(K367="","",IFERROR(VLOOKUP(K367,COA!A:B,2,FALSE),"-"))</f>
        <v/>
      </c>
      <c r="M367" s="17"/>
      <c r="N367" s="17" t="str">
        <f>IF(M367="","",IFERROR(VLOOKUP(M367,COA!A:B,2,FALSE),"-"))</f>
        <v/>
      </c>
    </row>
    <row r="368">
      <c r="A368" s="43"/>
      <c r="C368" s="17"/>
      <c r="G368" s="17"/>
      <c r="H368" s="22"/>
      <c r="I368" s="20" t="str">
        <f t="shared" si="1"/>
        <v/>
      </c>
      <c r="J368" s="17"/>
      <c r="K368" s="17"/>
      <c r="L368" s="17" t="str">
        <f>IF(K368="","",IFERROR(VLOOKUP(K368,COA!A:B,2,FALSE),"-"))</f>
        <v/>
      </c>
      <c r="M368" s="17"/>
      <c r="N368" s="17" t="str">
        <f>IF(M368="","",IFERROR(VLOOKUP(M368,COA!A:B,2,FALSE),"-"))</f>
        <v/>
      </c>
    </row>
    <row r="369">
      <c r="A369" s="43"/>
      <c r="C369" s="17"/>
      <c r="G369" s="17"/>
      <c r="H369" s="22"/>
      <c r="I369" s="20" t="str">
        <f t="shared" si="1"/>
        <v/>
      </c>
      <c r="J369" s="17"/>
      <c r="K369" s="17"/>
      <c r="L369" s="17" t="str">
        <f>IF(K369="","",IFERROR(VLOOKUP(K369,COA!A:B,2,FALSE),"-"))</f>
        <v/>
      </c>
      <c r="M369" s="17"/>
      <c r="N369" s="17" t="str">
        <f>IF(M369="","",IFERROR(VLOOKUP(M369,COA!A:B,2,FALSE),"-"))</f>
        <v/>
      </c>
    </row>
    <row r="370">
      <c r="A370" s="43"/>
      <c r="C370" s="17"/>
      <c r="G370" s="17"/>
      <c r="H370" s="22"/>
      <c r="I370" s="20" t="str">
        <f t="shared" si="1"/>
        <v/>
      </c>
      <c r="J370" s="17"/>
      <c r="K370" s="17"/>
      <c r="L370" s="17" t="str">
        <f>IF(K370="","",IFERROR(VLOOKUP(K370,COA!A:B,2,FALSE),"-"))</f>
        <v/>
      </c>
      <c r="M370" s="17"/>
      <c r="N370" s="17" t="str">
        <f>IF(M370="","",IFERROR(VLOOKUP(M370,COA!A:B,2,FALSE),"-"))</f>
        <v/>
      </c>
    </row>
    <row r="371">
      <c r="A371" s="43"/>
      <c r="C371" s="17"/>
      <c r="G371" s="17"/>
      <c r="H371" s="22"/>
      <c r="I371" s="20" t="str">
        <f t="shared" si="1"/>
        <v/>
      </c>
      <c r="J371" s="17"/>
      <c r="K371" s="17"/>
      <c r="L371" s="17" t="str">
        <f>IF(K371="","",IFERROR(VLOOKUP(K371,COA!A:B,2,FALSE),"-"))</f>
        <v/>
      </c>
      <c r="M371" s="17"/>
      <c r="N371" s="17" t="str">
        <f>IF(M371="","",IFERROR(VLOOKUP(M371,COA!A:B,2,FALSE),"-"))</f>
        <v/>
      </c>
    </row>
    <row r="372">
      <c r="A372" s="43"/>
      <c r="C372" s="17"/>
      <c r="G372" s="17"/>
      <c r="H372" s="22"/>
      <c r="I372" s="20" t="str">
        <f t="shared" si="1"/>
        <v/>
      </c>
      <c r="J372" s="17"/>
      <c r="K372" s="17"/>
      <c r="L372" s="17" t="str">
        <f>IF(K372="","",IFERROR(VLOOKUP(K372,COA!A:B,2,FALSE),"-"))</f>
        <v/>
      </c>
      <c r="M372" s="17"/>
      <c r="N372" s="17" t="str">
        <f>IF(M372="","",IFERROR(VLOOKUP(M372,COA!A:B,2,FALSE),"-"))</f>
        <v/>
      </c>
    </row>
    <row r="373">
      <c r="A373" s="43"/>
      <c r="C373" s="17"/>
      <c r="G373" s="17"/>
      <c r="H373" s="22"/>
      <c r="I373" s="20" t="str">
        <f t="shared" si="1"/>
        <v/>
      </c>
      <c r="J373" s="17"/>
      <c r="K373" s="17"/>
      <c r="L373" s="17" t="str">
        <f>IF(K373="","",IFERROR(VLOOKUP(K373,COA!A:B,2,FALSE),"-"))</f>
        <v/>
      </c>
      <c r="M373" s="17"/>
      <c r="N373" s="17" t="str">
        <f>IF(M373="","",IFERROR(VLOOKUP(M373,COA!A:B,2,FALSE),"-"))</f>
        <v/>
      </c>
    </row>
    <row r="374">
      <c r="A374" s="43"/>
      <c r="C374" s="17"/>
      <c r="G374" s="17"/>
      <c r="H374" s="22"/>
      <c r="I374" s="20" t="str">
        <f t="shared" si="1"/>
        <v/>
      </c>
      <c r="J374" s="17"/>
      <c r="K374" s="17"/>
      <c r="L374" s="17" t="str">
        <f>IF(K374="","",IFERROR(VLOOKUP(K374,COA!A:B,2,FALSE),"-"))</f>
        <v/>
      </c>
      <c r="M374" s="17"/>
      <c r="N374" s="17" t="str">
        <f>IF(M374="","",IFERROR(VLOOKUP(M374,COA!A:B,2,FALSE),"-"))</f>
        <v/>
      </c>
    </row>
    <row r="375">
      <c r="A375" s="43"/>
      <c r="C375" s="17"/>
      <c r="G375" s="17"/>
      <c r="H375" s="22"/>
      <c r="I375" s="20" t="str">
        <f t="shared" si="1"/>
        <v/>
      </c>
      <c r="J375" s="17"/>
      <c r="K375" s="17"/>
      <c r="L375" s="17" t="str">
        <f>IF(K375="","",IFERROR(VLOOKUP(K375,COA!A:B,2,FALSE),"-"))</f>
        <v/>
      </c>
      <c r="M375" s="17"/>
      <c r="N375" s="17" t="str">
        <f>IF(M375="","",IFERROR(VLOOKUP(M375,COA!A:B,2,FALSE),"-"))</f>
        <v/>
      </c>
    </row>
    <row r="376">
      <c r="A376" s="43"/>
      <c r="C376" s="17"/>
      <c r="G376" s="17"/>
      <c r="H376" s="22"/>
      <c r="I376" s="20" t="str">
        <f t="shared" si="1"/>
        <v/>
      </c>
      <c r="J376" s="17"/>
      <c r="K376" s="17"/>
      <c r="L376" s="17" t="str">
        <f>IF(K376="","",IFERROR(VLOOKUP(K376,COA!A:B,2,FALSE),"-"))</f>
        <v/>
      </c>
      <c r="M376" s="17"/>
      <c r="N376" s="17" t="str">
        <f>IF(M376="","",IFERROR(VLOOKUP(M376,COA!A:B,2,FALSE),"-"))</f>
        <v/>
      </c>
    </row>
    <row r="377">
      <c r="A377" s="43"/>
      <c r="C377" s="17"/>
      <c r="G377" s="17"/>
      <c r="H377" s="22"/>
      <c r="I377" s="20" t="str">
        <f t="shared" si="1"/>
        <v/>
      </c>
      <c r="J377" s="17"/>
      <c r="K377" s="17"/>
      <c r="L377" s="17" t="str">
        <f>IF(K377="","",IFERROR(VLOOKUP(K377,COA!A:B,2,FALSE),"-"))</f>
        <v/>
      </c>
      <c r="M377" s="17"/>
      <c r="N377" s="17" t="str">
        <f>IF(M377="","",IFERROR(VLOOKUP(M377,COA!A:B,2,FALSE),"-"))</f>
        <v/>
      </c>
    </row>
    <row r="378">
      <c r="A378" s="43"/>
      <c r="C378" s="17"/>
      <c r="G378" s="17"/>
      <c r="H378" s="22"/>
      <c r="I378" s="20" t="str">
        <f t="shared" si="1"/>
        <v/>
      </c>
      <c r="J378" s="17"/>
      <c r="K378" s="17"/>
      <c r="L378" s="17" t="str">
        <f>IF(K378="","",IFERROR(VLOOKUP(K378,COA!A:B,2,FALSE),"-"))</f>
        <v/>
      </c>
      <c r="M378" s="17"/>
      <c r="N378" s="17" t="str">
        <f>IF(M378="","",IFERROR(VLOOKUP(M378,COA!A:B,2,FALSE),"-"))</f>
        <v/>
      </c>
    </row>
    <row r="379">
      <c r="A379" s="43"/>
      <c r="C379" s="17"/>
      <c r="G379" s="17"/>
      <c r="H379" s="22"/>
      <c r="I379" s="20" t="str">
        <f t="shared" si="1"/>
        <v/>
      </c>
      <c r="J379" s="17"/>
      <c r="K379" s="17"/>
      <c r="L379" s="17" t="str">
        <f>IF(K379="","",IFERROR(VLOOKUP(K379,COA!A:B,2,FALSE),"-"))</f>
        <v/>
      </c>
      <c r="M379" s="17"/>
      <c r="N379" s="17" t="str">
        <f>IF(M379="","",IFERROR(VLOOKUP(M379,COA!A:B,2,FALSE),"-"))</f>
        <v/>
      </c>
    </row>
    <row r="380">
      <c r="A380" s="43"/>
      <c r="C380" s="17"/>
      <c r="G380" s="17"/>
      <c r="H380" s="22"/>
      <c r="I380" s="20" t="str">
        <f t="shared" si="1"/>
        <v/>
      </c>
      <c r="J380" s="17"/>
      <c r="K380" s="17"/>
      <c r="L380" s="17" t="str">
        <f>IF(K380="","",IFERROR(VLOOKUP(K380,COA!A:B,2,FALSE),"-"))</f>
        <v/>
      </c>
      <c r="M380" s="17"/>
      <c r="N380" s="17" t="str">
        <f>IF(M380="","",IFERROR(VLOOKUP(M380,COA!A:B,2,FALSE),"-"))</f>
        <v/>
      </c>
    </row>
    <row r="381">
      <c r="A381" s="43"/>
      <c r="C381" s="17"/>
      <c r="G381" s="17"/>
      <c r="H381" s="22"/>
      <c r="I381" s="20" t="str">
        <f t="shared" si="1"/>
        <v/>
      </c>
      <c r="J381" s="17"/>
      <c r="K381" s="17"/>
      <c r="L381" s="17" t="str">
        <f>IF(K381="","",IFERROR(VLOOKUP(K381,COA!A:B,2,FALSE),"-"))</f>
        <v/>
      </c>
      <c r="M381" s="17"/>
      <c r="N381" s="17" t="str">
        <f>IF(M381="","",IFERROR(VLOOKUP(M381,COA!A:B,2,FALSE),"-"))</f>
        <v/>
      </c>
    </row>
    <row r="382">
      <c r="A382" s="43"/>
      <c r="C382" s="17"/>
      <c r="G382" s="17"/>
      <c r="H382" s="22"/>
      <c r="I382" s="20" t="str">
        <f t="shared" si="1"/>
        <v/>
      </c>
      <c r="J382" s="17"/>
      <c r="K382" s="17"/>
      <c r="L382" s="17" t="str">
        <f>IF(K382="","",IFERROR(VLOOKUP(K382,COA!A:B,2,FALSE),"-"))</f>
        <v/>
      </c>
      <c r="M382" s="17"/>
      <c r="N382" s="17" t="str">
        <f>IF(M382="","",IFERROR(VLOOKUP(M382,COA!A:B,2,FALSE),"-"))</f>
        <v/>
      </c>
    </row>
    <row r="383">
      <c r="A383" s="43"/>
      <c r="C383" s="17"/>
      <c r="G383" s="17"/>
      <c r="H383" s="22"/>
      <c r="I383" s="20" t="str">
        <f t="shared" si="1"/>
        <v/>
      </c>
      <c r="J383" s="17"/>
      <c r="K383" s="17"/>
      <c r="L383" s="17" t="str">
        <f>IF(K383="","",IFERROR(VLOOKUP(K383,COA!A:B,2,FALSE),"-"))</f>
        <v/>
      </c>
      <c r="M383" s="17"/>
      <c r="N383" s="17" t="str">
        <f>IF(M383="","",IFERROR(VLOOKUP(M383,COA!A:B,2,FALSE),"-"))</f>
        <v/>
      </c>
    </row>
    <row r="384">
      <c r="A384" s="43"/>
      <c r="C384" s="17"/>
      <c r="G384" s="17"/>
      <c r="H384" s="22"/>
      <c r="I384" s="20" t="str">
        <f t="shared" si="1"/>
        <v/>
      </c>
      <c r="J384" s="17"/>
      <c r="K384" s="17"/>
      <c r="L384" s="17" t="str">
        <f>IF(K384="","",IFERROR(VLOOKUP(K384,COA!A:B,2,FALSE),"-"))</f>
        <v/>
      </c>
      <c r="M384" s="17"/>
      <c r="N384" s="17" t="str">
        <f>IF(M384="","",IFERROR(VLOOKUP(M384,COA!A:B,2,FALSE),"-"))</f>
        <v/>
      </c>
    </row>
    <row r="385">
      <c r="A385" s="43"/>
      <c r="C385" s="17"/>
      <c r="G385" s="17"/>
      <c r="H385" s="22"/>
      <c r="I385" s="20" t="str">
        <f t="shared" si="1"/>
        <v/>
      </c>
      <c r="J385" s="17"/>
      <c r="K385" s="17"/>
      <c r="L385" s="17" t="str">
        <f>IF(K385="","",IFERROR(VLOOKUP(K385,COA!A:B,2,FALSE),"-"))</f>
        <v/>
      </c>
      <c r="M385" s="17"/>
      <c r="N385" s="17" t="str">
        <f>IF(M385="","",IFERROR(VLOOKUP(M385,COA!A:B,2,FALSE),"-"))</f>
        <v/>
      </c>
    </row>
    <row r="386">
      <c r="A386" s="43"/>
      <c r="C386" s="17"/>
      <c r="G386" s="17"/>
      <c r="H386" s="22"/>
      <c r="I386" s="20" t="str">
        <f t="shared" si="1"/>
        <v/>
      </c>
      <c r="J386" s="17"/>
      <c r="K386" s="17"/>
      <c r="L386" s="17" t="str">
        <f>IF(K386="","",IFERROR(VLOOKUP(K386,COA!A:B,2,FALSE),"-"))</f>
        <v/>
      </c>
      <c r="M386" s="17"/>
      <c r="N386" s="17" t="str">
        <f>IF(M386="","",IFERROR(VLOOKUP(M386,COA!A:B,2,FALSE),"-"))</f>
        <v/>
      </c>
    </row>
    <row r="387">
      <c r="A387" s="43"/>
      <c r="C387" s="17"/>
      <c r="G387" s="17"/>
      <c r="H387" s="22"/>
      <c r="I387" s="20" t="str">
        <f t="shared" si="1"/>
        <v/>
      </c>
      <c r="J387" s="17"/>
      <c r="K387" s="17"/>
      <c r="L387" s="17" t="str">
        <f>IF(K387="","",IFERROR(VLOOKUP(K387,COA!A:B,2,FALSE),"-"))</f>
        <v/>
      </c>
      <c r="M387" s="17"/>
      <c r="N387" s="17" t="str">
        <f>IF(M387="","",IFERROR(VLOOKUP(M387,COA!A:B,2,FALSE),"-"))</f>
        <v/>
      </c>
    </row>
    <row r="388">
      <c r="A388" s="43"/>
      <c r="C388" s="17"/>
      <c r="G388" s="17"/>
      <c r="H388" s="22"/>
      <c r="I388" s="20" t="str">
        <f t="shared" si="1"/>
        <v/>
      </c>
      <c r="J388" s="17"/>
      <c r="K388" s="17"/>
      <c r="L388" s="17" t="str">
        <f>IF(K388="","",IFERROR(VLOOKUP(K388,COA!A:B,2,FALSE),"-"))</f>
        <v/>
      </c>
      <c r="M388" s="17"/>
      <c r="N388" s="17" t="str">
        <f>IF(M388="","",IFERROR(VLOOKUP(M388,COA!A:B,2,FALSE),"-"))</f>
        <v/>
      </c>
    </row>
    <row r="389">
      <c r="A389" s="43"/>
      <c r="C389" s="17"/>
      <c r="G389" s="17"/>
      <c r="H389" s="22"/>
      <c r="I389" s="20" t="str">
        <f t="shared" si="1"/>
        <v/>
      </c>
      <c r="J389" s="17"/>
      <c r="K389" s="17"/>
      <c r="L389" s="17" t="str">
        <f>IF(K389="","",IFERROR(VLOOKUP(K389,COA!A:B,2,FALSE),"-"))</f>
        <v/>
      </c>
      <c r="M389" s="17"/>
      <c r="N389" s="17" t="str">
        <f>IF(M389="","",IFERROR(VLOOKUP(M389,COA!A:B,2,FALSE),"-"))</f>
        <v/>
      </c>
    </row>
    <row r="390">
      <c r="A390" s="43"/>
      <c r="C390" s="17"/>
      <c r="G390" s="17"/>
      <c r="H390" s="22"/>
      <c r="I390" s="20" t="str">
        <f t="shared" si="1"/>
        <v/>
      </c>
      <c r="J390" s="17"/>
      <c r="K390" s="17"/>
      <c r="L390" s="17" t="str">
        <f>IF(K390="","",IFERROR(VLOOKUP(K390,COA!A:B,2,FALSE),"-"))</f>
        <v/>
      </c>
      <c r="M390" s="17"/>
      <c r="N390" s="17" t="str">
        <f>IF(M390="","",IFERROR(VLOOKUP(M390,COA!A:B,2,FALSE),"-"))</f>
        <v/>
      </c>
    </row>
    <row r="391">
      <c r="A391" s="43"/>
      <c r="C391" s="17"/>
      <c r="G391" s="17"/>
      <c r="H391" s="22"/>
      <c r="I391" s="20" t="str">
        <f t="shared" si="1"/>
        <v/>
      </c>
      <c r="J391" s="17"/>
      <c r="K391" s="17"/>
      <c r="L391" s="17" t="str">
        <f>IF(K391="","",IFERROR(VLOOKUP(K391,COA!A:B,2,FALSE),"-"))</f>
        <v/>
      </c>
      <c r="M391" s="17"/>
      <c r="N391" s="17" t="str">
        <f>IF(M391="","",IFERROR(VLOOKUP(M391,COA!A:B,2,FALSE),"-"))</f>
        <v/>
      </c>
    </row>
    <row r="392">
      <c r="A392" s="43"/>
      <c r="C392" s="17"/>
      <c r="G392" s="17"/>
      <c r="H392" s="22"/>
      <c r="I392" s="20" t="str">
        <f t="shared" si="1"/>
        <v/>
      </c>
      <c r="J392" s="17"/>
      <c r="K392" s="17"/>
      <c r="L392" s="17" t="str">
        <f>IF(K392="","",IFERROR(VLOOKUP(K392,COA!A:B,2,FALSE),"-"))</f>
        <v/>
      </c>
      <c r="M392" s="17"/>
      <c r="N392" s="17" t="str">
        <f>IF(M392="","",IFERROR(VLOOKUP(M392,COA!A:B,2,FALSE),"-"))</f>
        <v/>
      </c>
    </row>
    <row r="393">
      <c r="A393" s="43"/>
      <c r="C393" s="17"/>
      <c r="G393" s="17"/>
      <c r="H393" s="22"/>
      <c r="I393" s="20" t="str">
        <f t="shared" si="1"/>
        <v/>
      </c>
      <c r="J393" s="17"/>
      <c r="K393" s="17"/>
      <c r="L393" s="17" t="str">
        <f>IF(K393="","",IFERROR(VLOOKUP(K393,COA!A:B,2,FALSE),"-"))</f>
        <v/>
      </c>
      <c r="M393" s="17"/>
      <c r="N393" s="17" t="str">
        <f>IF(M393="","",IFERROR(VLOOKUP(M393,COA!A:B,2,FALSE),"-"))</f>
        <v/>
      </c>
    </row>
    <row r="394">
      <c r="A394" s="43"/>
      <c r="C394" s="17"/>
      <c r="G394" s="17"/>
      <c r="H394" s="22"/>
      <c r="I394" s="20" t="str">
        <f t="shared" si="1"/>
        <v/>
      </c>
      <c r="J394" s="17"/>
      <c r="K394" s="17"/>
      <c r="L394" s="17" t="str">
        <f>IF(K394="","",IFERROR(VLOOKUP(K394,COA!A:B,2,FALSE),"-"))</f>
        <v/>
      </c>
      <c r="M394" s="17"/>
      <c r="N394" s="17" t="str">
        <f>IF(M394="","",IFERROR(VLOOKUP(M394,COA!A:B,2,FALSE),"-"))</f>
        <v/>
      </c>
    </row>
    <row r="395">
      <c r="A395" s="43"/>
      <c r="C395" s="17"/>
      <c r="G395" s="17"/>
      <c r="H395" s="22"/>
      <c r="I395" s="20" t="str">
        <f t="shared" si="1"/>
        <v/>
      </c>
      <c r="J395" s="17"/>
      <c r="K395" s="17"/>
      <c r="L395" s="17" t="str">
        <f>IF(K395="","",IFERROR(VLOOKUP(K395,COA!A:B,2,FALSE),"-"))</f>
        <v/>
      </c>
      <c r="M395" s="17"/>
      <c r="N395" s="17" t="str">
        <f>IF(M395="","",IFERROR(VLOOKUP(M395,COA!A:B,2,FALSE),"-"))</f>
        <v/>
      </c>
    </row>
    <row r="396">
      <c r="A396" s="43"/>
      <c r="C396" s="17"/>
      <c r="G396" s="17"/>
      <c r="H396" s="22"/>
      <c r="I396" s="20" t="str">
        <f t="shared" si="1"/>
        <v/>
      </c>
      <c r="J396" s="17"/>
      <c r="K396" s="17"/>
      <c r="L396" s="17" t="str">
        <f>IF(K396="","",IFERROR(VLOOKUP(K396,COA!A:B,2,FALSE),"-"))</f>
        <v/>
      </c>
      <c r="M396" s="17"/>
      <c r="N396" s="17" t="str">
        <f>IF(M396="","",IFERROR(VLOOKUP(M396,COA!A:B,2,FALSE),"-"))</f>
        <v/>
      </c>
    </row>
    <row r="397">
      <c r="A397" s="43"/>
      <c r="C397" s="17"/>
      <c r="G397" s="17"/>
      <c r="H397" s="22"/>
      <c r="I397" s="20" t="str">
        <f t="shared" si="1"/>
        <v/>
      </c>
      <c r="J397" s="17"/>
      <c r="K397" s="17"/>
      <c r="L397" s="17" t="str">
        <f>IF(K397="","",IFERROR(VLOOKUP(K397,COA!A:B,2,FALSE),"-"))</f>
        <v/>
      </c>
      <c r="M397" s="17"/>
      <c r="N397" s="17" t="str">
        <f>IF(M397="","",IFERROR(VLOOKUP(M397,COA!A:B,2,FALSE),"-"))</f>
        <v/>
      </c>
    </row>
    <row r="398">
      <c r="A398" s="43"/>
      <c r="C398" s="17"/>
      <c r="G398" s="17"/>
      <c r="H398" s="22"/>
      <c r="I398" s="20" t="str">
        <f t="shared" si="1"/>
        <v/>
      </c>
      <c r="J398" s="17"/>
      <c r="K398" s="17"/>
      <c r="L398" s="17" t="str">
        <f>IF(K398="","",IFERROR(VLOOKUP(K398,COA!A:B,2,FALSE),"-"))</f>
        <v/>
      </c>
      <c r="M398" s="17"/>
      <c r="N398" s="17" t="str">
        <f>IF(M398="","",IFERROR(VLOOKUP(M398,COA!A:B,2,FALSE),"-"))</f>
        <v/>
      </c>
    </row>
    <row r="399">
      <c r="A399" s="43"/>
      <c r="C399" s="17"/>
      <c r="G399" s="17"/>
      <c r="H399" s="22"/>
      <c r="I399" s="20" t="str">
        <f t="shared" si="1"/>
        <v/>
      </c>
      <c r="J399" s="17"/>
      <c r="K399" s="17"/>
      <c r="L399" s="17" t="str">
        <f>IF(K399="","",IFERROR(VLOOKUP(K399,COA!A:B,2,FALSE),"-"))</f>
        <v/>
      </c>
      <c r="M399" s="17"/>
      <c r="N399" s="17" t="str">
        <f>IF(M399="","",IFERROR(VLOOKUP(M399,COA!A:B,2,FALSE),"-"))</f>
        <v/>
      </c>
    </row>
    <row r="400">
      <c r="A400" s="43"/>
      <c r="C400" s="17"/>
      <c r="G400" s="17"/>
      <c r="H400" s="22"/>
      <c r="I400" s="20" t="str">
        <f t="shared" si="1"/>
        <v/>
      </c>
      <c r="J400" s="17"/>
      <c r="K400" s="17"/>
      <c r="L400" s="17" t="str">
        <f>IF(K400="","",IFERROR(VLOOKUP(K400,COA!A:B,2,FALSE),"-"))</f>
        <v/>
      </c>
      <c r="M400" s="17"/>
      <c r="N400" s="17" t="str">
        <f>IF(M400="","",IFERROR(VLOOKUP(M400,COA!A:B,2,FALSE),"-"))</f>
        <v/>
      </c>
    </row>
    <row r="401">
      <c r="A401" s="43"/>
      <c r="C401" s="17"/>
      <c r="G401" s="17"/>
      <c r="H401" s="22"/>
      <c r="I401" s="20" t="str">
        <f t="shared" si="1"/>
        <v/>
      </c>
      <c r="J401" s="17"/>
      <c r="K401" s="17"/>
      <c r="L401" s="17" t="str">
        <f>IF(K401="","",IFERROR(VLOOKUP(K401,COA!A:B,2,FALSE),"-"))</f>
        <v/>
      </c>
      <c r="M401" s="17"/>
      <c r="N401" s="17" t="str">
        <f>IF(M401="","",IFERROR(VLOOKUP(M401,COA!A:B,2,FALSE),"-"))</f>
        <v/>
      </c>
    </row>
    <row r="402">
      <c r="A402" s="43"/>
      <c r="C402" s="17"/>
      <c r="G402" s="17"/>
      <c r="H402" s="22"/>
      <c r="I402" s="20" t="str">
        <f t="shared" si="1"/>
        <v/>
      </c>
      <c r="J402" s="17"/>
      <c r="K402" s="17"/>
      <c r="L402" s="17" t="str">
        <f>IF(K402="","",IFERROR(VLOOKUP(K402,COA!A:B,2,FALSE),"-"))</f>
        <v/>
      </c>
      <c r="M402" s="17"/>
      <c r="N402" s="17" t="str">
        <f>IF(M402="","",IFERROR(VLOOKUP(M402,COA!A:B,2,FALSE),"-"))</f>
        <v/>
      </c>
    </row>
    <row r="403">
      <c r="A403" s="43"/>
      <c r="C403" s="17"/>
      <c r="G403" s="17"/>
      <c r="H403" s="22"/>
      <c r="I403" s="20" t="str">
        <f t="shared" si="1"/>
        <v/>
      </c>
      <c r="J403" s="17"/>
      <c r="K403" s="17"/>
      <c r="L403" s="17" t="str">
        <f>IF(K403="","",IFERROR(VLOOKUP(K403,COA!A:B,2,FALSE),"-"))</f>
        <v/>
      </c>
      <c r="M403" s="17"/>
      <c r="N403" s="17" t="str">
        <f>IF(M403="","",IFERROR(VLOOKUP(M403,COA!A:B,2,FALSE),"-"))</f>
        <v/>
      </c>
    </row>
    <row r="404">
      <c r="A404" s="43"/>
      <c r="C404" s="17"/>
      <c r="G404" s="17"/>
      <c r="H404" s="22"/>
      <c r="I404" s="20" t="str">
        <f t="shared" si="1"/>
        <v/>
      </c>
      <c r="J404" s="17"/>
      <c r="K404" s="17"/>
      <c r="L404" s="17" t="str">
        <f>IF(K404="","",IFERROR(VLOOKUP(K404,COA!A:B,2,FALSE),"-"))</f>
        <v/>
      </c>
      <c r="M404" s="17"/>
      <c r="N404" s="17" t="str">
        <f>IF(M404="","",IFERROR(VLOOKUP(M404,COA!A:B,2,FALSE),"-"))</f>
        <v/>
      </c>
    </row>
    <row r="405">
      <c r="A405" s="43"/>
      <c r="C405" s="17"/>
      <c r="G405" s="17"/>
      <c r="H405" s="22"/>
      <c r="I405" s="20" t="str">
        <f t="shared" si="1"/>
        <v/>
      </c>
      <c r="J405" s="17"/>
      <c r="K405" s="17"/>
      <c r="L405" s="17" t="str">
        <f>IF(K405="","",IFERROR(VLOOKUP(K405,COA!A:B,2,FALSE),"-"))</f>
        <v/>
      </c>
      <c r="M405" s="17"/>
      <c r="N405" s="17" t="str">
        <f>IF(M405="","",IFERROR(VLOOKUP(M405,COA!A:B,2,FALSE),"-"))</f>
        <v/>
      </c>
    </row>
    <row r="406">
      <c r="A406" s="43"/>
      <c r="C406" s="17"/>
      <c r="G406" s="17"/>
      <c r="H406" s="22"/>
      <c r="I406" s="20" t="str">
        <f t="shared" si="1"/>
        <v/>
      </c>
      <c r="J406" s="17"/>
      <c r="K406" s="17"/>
      <c r="L406" s="17" t="str">
        <f>IF(K406="","",IFERROR(VLOOKUP(K406,COA!A:B,2,FALSE),"-"))</f>
        <v/>
      </c>
      <c r="M406" s="17"/>
      <c r="N406" s="17" t="str">
        <f>IF(M406="","",IFERROR(VLOOKUP(M406,COA!A:B,2,FALSE),"-"))</f>
        <v/>
      </c>
    </row>
    <row r="407">
      <c r="A407" s="43"/>
      <c r="C407" s="17"/>
      <c r="G407" s="17"/>
      <c r="H407" s="22"/>
      <c r="I407" s="20" t="str">
        <f t="shared" si="1"/>
        <v/>
      </c>
      <c r="J407" s="17"/>
      <c r="K407" s="17"/>
      <c r="L407" s="17" t="str">
        <f>IF(K407="","",IFERROR(VLOOKUP(K407,COA!A:B,2,FALSE),"-"))</f>
        <v/>
      </c>
      <c r="M407" s="17"/>
      <c r="N407" s="17" t="str">
        <f>IF(M407="","",IFERROR(VLOOKUP(M407,COA!A:B,2,FALSE),"-"))</f>
        <v/>
      </c>
    </row>
    <row r="408">
      <c r="A408" s="43"/>
      <c r="C408" s="17"/>
      <c r="G408" s="17"/>
      <c r="H408" s="22"/>
      <c r="I408" s="20" t="str">
        <f t="shared" si="1"/>
        <v/>
      </c>
      <c r="J408" s="17"/>
      <c r="K408" s="17"/>
      <c r="L408" s="17" t="str">
        <f>IF(K408="","",IFERROR(VLOOKUP(K408,COA!A:B,2,FALSE),"-"))</f>
        <v/>
      </c>
      <c r="M408" s="17"/>
      <c r="N408" s="17" t="str">
        <f>IF(M408="","",IFERROR(VLOOKUP(M408,COA!A:B,2,FALSE),"-"))</f>
        <v/>
      </c>
    </row>
    <row r="409">
      <c r="A409" s="43"/>
      <c r="C409" s="17"/>
      <c r="G409" s="17"/>
      <c r="H409" s="22"/>
      <c r="I409" s="20" t="str">
        <f t="shared" si="1"/>
        <v/>
      </c>
      <c r="J409" s="17"/>
      <c r="K409" s="17"/>
      <c r="L409" s="17" t="str">
        <f>IF(K409="","",IFERROR(VLOOKUP(K409,COA!A:B,2,FALSE),"-"))</f>
        <v/>
      </c>
      <c r="M409" s="17"/>
      <c r="N409" s="17" t="str">
        <f>IF(M409="","",IFERROR(VLOOKUP(M409,COA!A:B,2,FALSE),"-"))</f>
        <v/>
      </c>
    </row>
    <row r="410">
      <c r="A410" s="43"/>
      <c r="C410" s="17"/>
      <c r="G410" s="17"/>
      <c r="H410" s="22"/>
      <c r="I410" s="20" t="str">
        <f t="shared" si="1"/>
        <v/>
      </c>
      <c r="J410" s="17"/>
      <c r="K410" s="17"/>
      <c r="L410" s="17" t="str">
        <f>IF(K410="","",IFERROR(VLOOKUP(K410,COA!A:B,2,FALSE),"-"))</f>
        <v/>
      </c>
      <c r="M410" s="17"/>
      <c r="N410" s="17" t="str">
        <f>IF(M410="","",IFERROR(VLOOKUP(M410,COA!A:B,2,FALSE),"-"))</f>
        <v/>
      </c>
    </row>
    <row r="411">
      <c r="A411" s="43"/>
      <c r="C411" s="17"/>
      <c r="G411" s="17"/>
      <c r="H411" s="22"/>
      <c r="I411" s="20" t="str">
        <f t="shared" si="1"/>
        <v/>
      </c>
      <c r="J411" s="17"/>
      <c r="K411" s="17"/>
      <c r="L411" s="17" t="str">
        <f>IF(K411="","",IFERROR(VLOOKUP(K411,COA!A:B,2,FALSE),"-"))</f>
        <v/>
      </c>
      <c r="M411" s="17"/>
      <c r="N411" s="17" t="str">
        <f>IF(M411="","",IFERROR(VLOOKUP(M411,COA!A:B,2,FALSE),"-"))</f>
        <v/>
      </c>
    </row>
    <row r="412">
      <c r="A412" s="43"/>
      <c r="C412" s="17"/>
      <c r="G412" s="17"/>
      <c r="H412" s="22"/>
      <c r="I412" s="20" t="str">
        <f t="shared" si="1"/>
        <v/>
      </c>
      <c r="J412" s="17"/>
      <c r="K412" s="17"/>
      <c r="L412" s="17" t="str">
        <f>IF(K412="","",IFERROR(VLOOKUP(K412,COA!A:B,2,FALSE),"-"))</f>
        <v/>
      </c>
      <c r="M412" s="17"/>
      <c r="N412" s="17" t="str">
        <f>IF(M412="","",IFERROR(VLOOKUP(M412,COA!A:B,2,FALSE),"-"))</f>
        <v/>
      </c>
    </row>
    <row r="413">
      <c r="A413" s="43"/>
      <c r="C413" s="17"/>
      <c r="G413" s="17"/>
      <c r="H413" s="22"/>
      <c r="I413" s="20" t="str">
        <f t="shared" si="1"/>
        <v/>
      </c>
      <c r="J413" s="17"/>
      <c r="K413" s="17"/>
      <c r="L413" s="17" t="str">
        <f>IF(K413="","",IFERROR(VLOOKUP(K413,COA!A:B,2,FALSE),"-"))</f>
        <v/>
      </c>
      <c r="M413" s="17"/>
      <c r="N413" s="17" t="str">
        <f>IF(M413="","",IFERROR(VLOOKUP(M413,COA!A:B,2,FALSE),"-"))</f>
        <v/>
      </c>
    </row>
    <row r="414">
      <c r="A414" s="43"/>
      <c r="C414" s="17"/>
      <c r="G414" s="17"/>
      <c r="H414" s="22"/>
      <c r="I414" s="20" t="str">
        <f t="shared" si="1"/>
        <v/>
      </c>
      <c r="J414" s="17"/>
      <c r="K414" s="17"/>
      <c r="L414" s="17" t="str">
        <f>IF(K414="","",IFERROR(VLOOKUP(K414,COA!A:B,2,FALSE),"-"))</f>
        <v/>
      </c>
      <c r="M414" s="17"/>
      <c r="N414" s="17" t="str">
        <f>IF(M414="","",IFERROR(VLOOKUP(M414,COA!A:B,2,FALSE),"-"))</f>
        <v/>
      </c>
    </row>
    <row r="415">
      <c r="A415" s="43"/>
      <c r="C415" s="17"/>
      <c r="G415" s="17"/>
      <c r="H415" s="22"/>
      <c r="I415" s="20" t="str">
        <f t="shared" si="1"/>
        <v/>
      </c>
      <c r="J415" s="17"/>
      <c r="K415" s="17"/>
      <c r="L415" s="17" t="str">
        <f>IF(K415="","",IFERROR(VLOOKUP(K415,COA!A:B,2,FALSE),"-"))</f>
        <v/>
      </c>
      <c r="M415" s="17"/>
      <c r="N415" s="17" t="str">
        <f>IF(M415="","",IFERROR(VLOOKUP(M415,COA!A:B,2,FALSE),"-"))</f>
        <v/>
      </c>
    </row>
    <row r="416">
      <c r="A416" s="43"/>
      <c r="C416" s="17"/>
      <c r="G416" s="17"/>
      <c r="H416" s="22"/>
      <c r="I416" s="20" t="str">
        <f t="shared" si="1"/>
        <v/>
      </c>
      <c r="J416" s="17"/>
      <c r="K416" s="17"/>
      <c r="L416" s="17" t="str">
        <f>IF(K416="","",IFERROR(VLOOKUP(K416,COA!A:B,2,FALSE),"-"))</f>
        <v/>
      </c>
      <c r="M416" s="17"/>
      <c r="N416" s="17" t="str">
        <f>IF(M416="","",IFERROR(VLOOKUP(M416,COA!A:B,2,FALSE),"-"))</f>
        <v/>
      </c>
    </row>
    <row r="417">
      <c r="A417" s="43"/>
      <c r="C417" s="17"/>
      <c r="G417" s="17"/>
      <c r="H417" s="22"/>
      <c r="I417" s="20" t="str">
        <f t="shared" si="1"/>
        <v/>
      </c>
      <c r="J417" s="17"/>
      <c r="K417" s="17"/>
      <c r="L417" s="17" t="str">
        <f>IF(K417="","",IFERROR(VLOOKUP(K417,COA!A:B,2,FALSE),"-"))</f>
        <v/>
      </c>
      <c r="M417" s="17"/>
      <c r="N417" s="17" t="str">
        <f>IF(M417="","",IFERROR(VLOOKUP(M417,COA!A:B,2,FALSE),"-"))</f>
        <v/>
      </c>
    </row>
    <row r="418">
      <c r="A418" s="43"/>
      <c r="C418" s="17"/>
      <c r="G418" s="17"/>
      <c r="H418" s="22"/>
      <c r="I418" s="20" t="str">
        <f t="shared" si="1"/>
        <v/>
      </c>
      <c r="J418" s="17"/>
      <c r="K418" s="17"/>
      <c r="L418" s="17" t="str">
        <f>IF(K418="","",IFERROR(VLOOKUP(K418,COA!A:B,2,FALSE),"-"))</f>
        <v/>
      </c>
      <c r="M418" s="17"/>
      <c r="N418" s="17" t="str">
        <f>IF(M418="","",IFERROR(VLOOKUP(M418,COA!A:B,2,FALSE),"-"))</f>
        <v/>
      </c>
    </row>
    <row r="419">
      <c r="A419" s="43"/>
      <c r="C419" s="17"/>
      <c r="G419" s="17"/>
      <c r="H419" s="22"/>
      <c r="I419" s="20" t="str">
        <f t="shared" si="1"/>
        <v/>
      </c>
      <c r="J419" s="17"/>
      <c r="K419" s="17"/>
      <c r="L419" s="17" t="str">
        <f>IF(K419="","",IFERROR(VLOOKUP(K419,COA!A:B,2,FALSE),"-"))</f>
        <v/>
      </c>
      <c r="M419" s="17"/>
      <c r="N419" s="17" t="str">
        <f>IF(M419="","",IFERROR(VLOOKUP(M419,COA!A:B,2,FALSE),"-"))</f>
        <v/>
      </c>
    </row>
    <row r="420">
      <c r="A420" s="43"/>
      <c r="C420" s="17"/>
      <c r="G420" s="17"/>
      <c r="H420" s="22"/>
      <c r="I420" s="20" t="str">
        <f t="shared" si="1"/>
        <v/>
      </c>
      <c r="J420" s="17"/>
      <c r="K420" s="17"/>
      <c r="L420" s="17" t="str">
        <f>IF(K420="","",IFERROR(VLOOKUP(K420,COA!A:B,2,FALSE),"-"))</f>
        <v/>
      </c>
      <c r="M420" s="17"/>
      <c r="N420" s="17" t="str">
        <f>IF(M420="","",IFERROR(VLOOKUP(M420,COA!A:B,2,FALSE),"-"))</f>
        <v/>
      </c>
    </row>
    <row r="421">
      <c r="A421" s="43"/>
      <c r="C421" s="17"/>
      <c r="G421" s="17"/>
      <c r="H421" s="22"/>
      <c r="I421" s="20" t="str">
        <f t="shared" si="1"/>
        <v/>
      </c>
      <c r="J421" s="17"/>
      <c r="K421" s="17"/>
      <c r="L421" s="17" t="str">
        <f>IF(K421="","",IFERROR(VLOOKUP(K421,COA!A:B,2,FALSE),"-"))</f>
        <v/>
      </c>
      <c r="M421" s="17"/>
      <c r="N421" s="17" t="str">
        <f>IF(M421="","",IFERROR(VLOOKUP(M421,COA!A:B,2,FALSE),"-"))</f>
        <v/>
      </c>
    </row>
    <row r="422">
      <c r="A422" s="43"/>
      <c r="C422" s="17"/>
      <c r="G422" s="17"/>
      <c r="H422" s="22"/>
      <c r="I422" s="20" t="str">
        <f t="shared" si="1"/>
        <v/>
      </c>
      <c r="J422" s="17"/>
      <c r="K422" s="17"/>
      <c r="L422" s="17" t="str">
        <f>IF(K422="","",IFERROR(VLOOKUP(K422,COA!A:B,2,FALSE),"-"))</f>
        <v/>
      </c>
      <c r="M422" s="17"/>
      <c r="N422" s="17" t="str">
        <f>IF(M422="","",IFERROR(VLOOKUP(M422,COA!A:B,2,FALSE),"-"))</f>
        <v/>
      </c>
    </row>
    <row r="423">
      <c r="A423" s="43"/>
      <c r="C423" s="17"/>
      <c r="G423" s="17"/>
      <c r="H423" s="22"/>
      <c r="I423" s="20" t="str">
        <f t="shared" si="1"/>
        <v/>
      </c>
      <c r="J423" s="17"/>
      <c r="K423" s="17"/>
      <c r="L423" s="17" t="str">
        <f>IF(K423="","",IFERROR(VLOOKUP(K423,COA!A:B,2,FALSE),"-"))</f>
        <v/>
      </c>
      <c r="M423" s="17"/>
      <c r="N423" s="17" t="str">
        <f>IF(M423="","",IFERROR(VLOOKUP(M423,COA!A:B,2,FALSE),"-"))</f>
        <v/>
      </c>
    </row>
    <row r="424">
      <c r="A424" s="43"/>
      <c r="C424" s="17"/>
      <c r="G424" s="17"/>
      <c r="H424" s="22"/>
      <c r="I424" s="20" t="str">
        <f t="shared" si="1"/>
        <v/>
      </c>
      <c r="J424" s="17"/>
      <c r="K424" s="17"/>
      <c r="L424" s="17" t="str">
        <f>IF(K424="","",IFERROR(VLOOKUP(K424,COA!A:B,2,FALSE),"-"))</f>
        <v/>
      </c>
      <c r="M424" s="17"/>
      <c r="N424" s="17" t="str">
        <f>IF(M424="","",IFERROR(VLOOKUP(M424,COA!A:B,2,FALSE),"-"))</f>
        <v/>
      </c>
    </row>
    <row r="425">
      <c r="A425" s="43"/>
      <c r="C425" s="17"/>
      <c r="G425" s="17"/>
      <c r="H425" s="22"/>
      <c r="I425" s="20" t="str">
        <f t="shared" si="1"/>
        <v/>
      </c>
      <c r="J425" s="17"/>
      <c r="K425" s="17"/>
      <c r="L425" s="17" t="str">
        <f>IF(K425="","",IFERROR(VLOOKUP(K425,COA!A:B,2,FALSE),"-"))</f>
        <v/>
      </c>
      <c r="M425" s="17"/>
      <c r="N425" s="17" t="str">
        <f>IF(M425="","",IFERROR(VLOOKUP(M425,COA!A:B,2,FALSE),"-"))</f>
        <v/>
      </c>
    </row>
    <row r="426">
      <c r="A426" s="43"/>
      <c r="C426" s="17"/>
      <c r="G426" s="17"/>
      <c r="H426" s="22"/>
      <c r="I426" s="20" t="str">
        <f t="shared" si="1"/>
        <v/>
      </c>
      <c r="J426" s="17"/>
      <c r="K426" s="17"/>
      <c r="L426" s="17" t="str">
        <f>IF(K426="","",IFERROR(VLOOKUP(K426,COA!A:B,2,FALSE),"-"))</f>
        <v/>
      </c>
      <c r="M426" s="17"/>
      <c r="N426" s="17" t="str">
        <f>IF(M426="","",IFERROR(VLOOKUP(M426,COA!A:B,2,FALSE),"-"))</f>
        <v/>
      </c>
    </row>
    <row r="427">
      <c r="A427" s="43"/>
      <c r="C427" s="17"/>
      <c r="G427" s="17"/>
      <c r="H427" s="22"/>
      <c r="I427" s="20" t="str">
        <f t="shared" si="1"/>
        <v/>
      </c>
      <c r="J427" s="17"/>
      <c r="K427" s="17"/>
      <c r="L427" s="17" t="str">
        <f>IF(K427="","",IFERROR(VLOOKUP(K427,COA!A:B,2,FALSE),"-"))</f>
        <v/>
      </c>
      <c r="M427" s="17"/>
      <c r="N427" s="17" t="str">
        <f>IF(M427="","",IFERROR(VLOOKUP(M427,COA!A:B,2,FALSE),"-"))</f>
        <v/>
      </c>
    </row>
    <row r="428">
      <c r="A428" s="43"/>
      <c r="C428" s="17"/>
      <c r="G428" s="17"/>
      <c r="H428" s="22"/>
      <c r="I428" s="20" t="str">
        <f t="shared" si="1"/>
        <v/>
      </c>
      <c r="J428" s="17"/>
      <c r="K428" s="17"/>
      <c r="L428" s="17" t="str">
        <f>IF(K428="","",IFERROR(VLOOKUP(K428,COA!A:B,2,FALSE),"-"))</f>
        <v/>
      </c>
      <c r="M428" s="17"/>
      <c r="N428" s="17" t="str">
        <f>IF(M428="","",IFERROR(VLOOKUP(M428,COA!A:B,2,FALSE),"-"))</f>
        <v/>
      </c>
    </row>
    <row r="429">
      <c r="A429" s="43"/>
      <c r="C429" s="17"/>
      <c r="G429" s="17"/>
      <c r="H429" s="22"/>
      <c r="I429" s="20" t="str">
        <f t="shared" si="1"/>
        <v/>
      </c>
      <c r="J429" s="17"/>
      <c r="K429" s="17"/>
      <c r="L429" s="17" t="str">
        <f>IF(K429="","",IFERROR(VLOOKUP(K429,COA!A:B,2,FALSE),"-"))</f>
        <v/>
      </c>
      <c r="M429" s="17"/>
      <c r="N429" s="17" t="str">
        <f>IF(M429="","",IFERROR(VLOOKUP(M429,COA!A:B,2,FALSE),"-"))</f>
        <v/>
      </c>
    </row>
    <row r="430">
      <c r="A430" s="43"/>
      <c r="C430" s="17"/>
      <c r="G430" s="17"/>
      <c r="H430" s="22"/>
      <c r="I430" s="20" t="str">
        <f t="shared" si="1"/>
        <v/>
      </c>
      <c r="J430" s="17"/>
      <c r="K430" s="17"/>
      <c r="L430" s="17" t="str">
        <f>IF(K430="","",IFERROR(VLOOKUP(K430,COA!A:B,2,FALSE),"-"))</f>
        <v/>
      </c>
      <c r="M430" s="17"/>
      <c r="N430" s="17" t="str">
        <f>IF(M430="","",IFERROR(VLOOKUP(M430,COA!A:B,2,FALSE),"-"))</f>
        <v/>
      </c>
    </row>
    <row r="431">
      <c r="A431" s="43"/>
      <c r="C431" s="17"/>
      <c r="G431" s="17"/>
      <c r="H431" s="22"/>
      <c r="I431" s="20" t="str">
        <f t="shared" si="1"/>
        <v/>
      </c>
      <c r="J431" s="17"/>
      <c r="K431" s="17"/>
      <c r="L431" s="17" t="str">
        <f>IF(K431="","",IFERROR(VLOOKUP(K431,COA!A:B,2,FALSE),"-"))</f>
        <v/>
      </c>
      <c r="M431" s="17"/>
      <c r="N431" s="17" t="str">
        <f>IF(M431="","",IFERROR(VLOOKUP(M431,COA!A:B,2,FALSE),"-"))</f>
        <v/>
      </c>
    </row>
    <row r="432">
      <c r="A432" s="43"/>
      <c r="C432" s="17"/>
      <c r="G432" s="17"/>
      <c r="H432" s="22"/>
      <c r="I432" s="20" t="str">
        <f t="shared" si="1"/>
        <v/>
      </c>
      <c r="J432" s="17"/>
      <c r="K432" s="17"/>
      <c r="L432" s="17" t="str">
        <f>IF(K432="","",IFERROR(VLOOKUP(K432,COA!A:B,2,FALSE),"-"))</f>
        <v/>
      </c>
      <c r="M432" s="17"/>
      <c r="N432" s="17" t="str">
        <f>IF(M432="","",IFERROR(VLOOKUP(M432,COA!A:B,2,FALSE),"-"))</f>
        <v/>
      </c>
    </row>
    <row r="433">
      <c r="A433" s="43"/>
      <c r="C433" s="17"/>
      <c r="G433" s="17"/>
      <c r="H433" s="22"/>
      <c r="I433" s="20" t="str">
        <f t="shared" si="1"/>
        <v/>
      </c>
      <c r="J433" s="17"/>
      <c r="K433" s="17"/>
      <c r="L433" s="17" t="str">
        <f>IF(K433="","",IFERROR(VLOOKUP(K433,COA!A:B,2,FALSE),"-"))</f>
        <v/>
      </c>
      <c r="M433" s="17"/>
      <c r="N433" s="17" t="str">
        <f>IF(M433="","",IFERROR(VLOOKUP(M433,COA!A:B,2,FALSE),"-"))</f>
        <v/>
      </c>
    </row>
    <row r="434">
      <c r="A434" s="43"/>
      <c r="C434" s="17"/>
      <c r="G434" s="17"/>
      <c r="H434" s="22"/>
      <c r="I434" s="20" t="str">
        <f t="shared" si="1"/>
        <v/>
      </c>
      <c r="J434" s="17"/>
      <c r="K434" s="17"/>
      <c r="L434" s="17" t="str">
        <f>IF(K434="","",IFERROR(VLOOKUP(K434,COA!A:B,2,FALSE),"-"))</f>
        <v/>
      </c>
      <c r="M434" s="17"/>
      <c r="N434" s="17" t="str">
        <f>IF(M434="","",IFERROR(VLOOKUP(M434,COA!A:B,2,FALSE),"-"))</f>
        <v/>
      </c>
    </row>
    <row r="435">
      <c r="A435" s="43"/>
      <c r="C435" s="17"/>
      <c r="G435" s="17"/>
      <c r="H435" s="22"/>
      <c r="I435" s="20" t="str">
        <f t="shared" si="1"/>
        <v/>
      </c>
      <c r="J435" s="17"/>
      <c r="K435" s="17"/>
      <c r="L435" s="17" t="str">
        <f>IF(K435="","",IFERROR(VLOOKUP(K435,COA!A:B,2,FALSE),"-"))</f>
        <v/>
      </c>
      <c r="M435" s="17"/>
      <c r="N435" s="17" t="str">
        <f>IF(M435="","",IFERROR(VLOOKUP(M435,COA!A:B,2,FALSE),"-"))</f>
        <v/>
      </c>
    </row>
    <row r="436">
      <c r="A436" s="43"/>
      <c r="C436" s="17"/>
      <c r="G436" s="17"/>
      <c r="H436" s="22"/>
      <c r="I436" s="20" t="str">
        <f t="shared" si="1"/>
        <v/>
      </c>
      <c r="J436" s="17"/>
      <c r="K436" s="17"/>
      <c r="L436" s="17" t="str">
        <f>IF(K436="","",IFERROR(VLOOKUP(K436,COA!A:B,2,FALSE),"-"))</f>
        <v/>
      </c>
      <c r="M436" s="17"/>
      <c r="N436" s="17" t="str">
        <f>IF(M436="","",IFERROR(VLOOKUP(M436,COA!A:B,2,FALSE),"-"))</f>
        <v/>
      </c>
    </row>
    <row r="437">
      <c r="A437" s="43"/>
      <c r="C437" s="17"/>
      <c r="G437" s="17"/>
      <c r="H437" s="22"/>
      <c r="I437" s="20" t="str">
        <f t="shared" si="1"/>
        <v/>
      </c>
      <c r="J437" s="17"/>
      <c r="K437" s="17"/>
      <c r="L437" s="17" t="str">
        <f>IF(K437="","",IFERROR(VLOOKUP(K437,COA!A:B,2,FALSE),"-"))</f>
        <v/>
      </c>
      <c r="M437" s="17"/>
      <c r="N437" s="17" t="str">
        <f>IF(M437="","",IFERROR(VLOOKUP(M437,COA!A:B,2,FALSE),"-"))</f>
        <v/>
      </c>
    </row>
    <row r="438">
      <c r="A438" s="43"/>
      <c r="C438" s="17"/>
      <c r="G438" s="17"/>
      <c r="H438" s="22"/>
      <c r="I438" s="20" t="str">
        <f t="shared" si="1"/>
        <v/>
      </c>
      <c r="J438" s="17"/>
      <c r="K438" s="17"/>
      <c r="L438" s="17" t="str">
        <f>IF(K438="","",IFERROR(VLOOKUP(K438,COA!A:B,2,FALSE),"-"))</f>
        <v/>
      </c>
      <c r="M438" s="17"/>
      <c r="N438" s="17" t="str">
        <f>IF(M438="","",IFERROR(VLOOKUP(M438,COA!A:B,2,FALSE),"-"))</f>
        <v/>
      </c>
    </row>
    <row r="439">
      <c r="A439" s="43"/>
      <c r="C439" s="17"/>
      <c r="G439" s="17"/>
      <c r="H439" s="22"/>
      <c r="I439" s="20" t="str">
        <f t="shared" si="1"/>
        <v/>
      </c>
      <c r="J439" s="17"/>
      <c r="K439" s="17"/>
      <c r="L439" s="17" t="str">
        <f>IF(K439="","",IFERROR(VLOOKUP(K439,COA!A:B,2,FALSE),"-"))</f>
        <v/>
      </c>
      <c r="M439" s="17"/>
      <c r="N439" s="17" t="str">
        <f>IF(M439="","",IFERROR(VLOOKUP(M439,COA!A:B,2,FALSE),"-"))</f>
        <v/>
      </c>
    </row>
    <row r="440">
      <c r="A440" s="43"/>
      <c r="C440" s="17"/>
      <c r="G440" s="17"/>
      <c r="H440" s="22"/>
      <c r="I440" s="20" t="str">
        <f t="shared" si="1"/>
        <v/>
      </c>
      <c r="J440" s="17"/>
      <c r="K440" s="17"/>
      <c r="L440" s="17" t="str">
        <f>IF(K440="","",IFERROR(VLOOKUP(K440,COA!A:B,2,FALSE),"-"))</f>
        <v/>
      </c>
      <c r="M440" s="17"/>
      <c r="N440" s="17" t="str">
        <f>IF(M440="","",IFERROR(VLOOKUP(M440,COA!A:B,2,FALSE),"-"))</f>
        <v/>
      </c>
    </row>
    <row r="441">
      <c r="A441" s="43"/>
      <c r="C441" s="17"/>
      <c r="G441" s="17"/>
      <c r="H441" s="22"/>
      <c r="I441" s="20" t="str">
        <f t="shared" si="1"/>
        <v/>
      </c>
      <c r="J441" s="17"/>
      <c r="K441" s="17"/>
      <c r="L441" s="17" t="str">
        <f>IF(K441="","",IFERROR(VLOOKUP(K441,COA!A:B,2,FALSE),"-"))</f>
        <v/>
      </c>
      <c r="M441" s="17"/>
      <c r="N441" s="17" t="str">
        <f>IF(M441="","",IFERROR(VLOOKUP(M441,COA!A:B,2,FALSE),"-"))</f>
        <v/>
      </c>
    </row>
    <row r="442">
      <c r="A442" s="43"/>
      <c r="C442" s="17"/>
      <c r="G442" s="17"/>
      <c r="H442" s="22"/>
      <c r="I442" s="20" t="str">
        <f t="shared" si="1"/>
        <v/>
      </c>
      <c r="J442" s="17"/>
      <c r="K442" s="17"/>
      <c r="L442" s="17" t="str">
        <f>IF(K442="","",IFERROR(VLOOKUP(K442,COA!A:B,2,FALSE),"-"))</f>
        <v/>
      </c>
      <c r="M442" s="17"/>
      <c r="N442" s="17" t="str">
        <f>IF(M442="","",IFERROR(VLOOKUP(M442,COA!A:B,2,FALSE),"-"))</f>
        <v/>
      </c>
    </row>
    <row r="443">
      <c r="A443" s="43"/>
      <c r="C443" s="17"/>
      <c r="G443" s="17"/>
      <c r="H443" s="22"/>
      <c r="I443" s="20" t="str">
        <f t="shared" si="1"/>
        <v/>
      </c>
      <c r="J443" s="17"/>
      <c r="K443" s="17"/>
      <c r="L443" s="17" t="str">
        <f>IF(K443="","",IFERROR(VLOOKUP(K443,COA!A:B,2,FALSE),"-"))</f>
        <v/>
      </c>
      <c r="M443" s="17"/>
      <c r="N443" s="17" t="str">
        <f>IF(M443="","",IFERROR(VLOOKUP(M443,COA!A:B,2,FALSE),"-"))</f>
        <v/>
      </c>
    </row>
    <row r="444">
      <c r="A444" s="43"/>
      <c r="C444" s="17"/>
      <c r="G444" s="17"/>
      <c r="H444" s="22"/>
      <c r="I444" s="20" t="str">
        <f t="shared" si="1"/>
        <v/>
      </c>
      <c r="J444" s="17"/>
      <c r="K444" s="17"/>
      <c r="L444" s="17" t="str">
        <f>IF(K444="","",IFERROR(VLOOKUP(K444,COA!A:B,2,FALSE),"-"))</f>
        <v/>
      </c>
      <c r="M444" s="17"/>
      <c r="N444" s="17" t="str">
        <f>IF(M444="","",IFERROR(VLOOKUP(M444,COA!A:B,2,FALSE),"-"))</f>
        <v/>
      </c>
    </row>
    <row r="445">
      <c r="A445" s="43"/>
      <c r="C445" s="17"/>
      <c r="G445" s="17"/>
      <c r="H445" s="22"/>
      <c r="I445" s="20" t="str">
        <f t="shared" si="1"/>
        <v/>
      </c>
      <c r="J445" s="17"/>
      <c r="K445" s="17"/>
      <c r="L445" s="17" t="str">
        <f>IF(K445="","",IFERROR(VLOOKUP(K445,COA!A:B,2,FALSE),"-"))</f>
        <v/>
      </c>
      <c r="M445" s="17"/>
      <c r="N445" s="17" t="str">
        <f>IF(M445="","",IFERROR(VLOOKUP(M445,COA!A:B,2,FALSE),"-"))</f>
        <v/>
      </c>
    </row>
    <row r="446">
      <c r="A446" s="43"/>
      <c r="C446" s="17"/>
      <c r="G446" s="17"/>
      <c r="H446" s="22"/>
      <c r="I446" s="20" t="str">
        <f t="shared" si="1"/>
        <v/>
      </c>
      <c r="J446" s="17"/>
      <c r="K446" s="17"/>
      <c r="L446" s="17" t="str">
        <f>IF(K446="","",IFERROR(VLOOKUP(K446,COA!A:B,2,FALSE),"-"))</f>
        <v/>
      </c>
      <c r="M446" s="17"/>
      <c r="N446" s="17" t="str">
        <f>IF(M446="","",IFERROR(VLOOKUP(M446,COA!A:B,2,FALSE),"-"))</f>
        <v/>
      </c>
    </row>
    <row r="447">
      <c r="A447" s="43"/>
      <c r="C447" s="17"/>
      <c r="G447" s="17"/>
      <c r="H447" s="22"/>
      <c r="I447" s="20" t="str">
        <f t="shared" si="1"/>
        <v/>
      </c>
      <c r="J447" s="17"/>
      <c r="K447" s="17"/>
      <c r="L447" s="17" t="str">
        <f>IF(K447="","",IFERROR(VLOOKUP(K447,COA!A:B,2,FALSE),"-"))</f>
        <v/>
      </c>
      <c r="M447" s="17"/>
      <c r="N447" s="17" t="str">
        <f>IF(M447="","",IFERROR(VLOOKUP(M447,COA!A:B,2,FALSE),"-"))</f>
        <v/>
      </c>
    </row>
    <row r="448">
      <c r="A448" s="43"/>
      <c r="C448" s="17"/>
      <c r="G448" s="17"/>
      <c r="H448" s="22"/>
      <c r="I448" s="20" t="str">
        <f t="shared" si="1"/>
        <v/>
      </c>
      <c r="J448" s="17"/>
      <c r="K448" s="17"/>
      <c r="L448" s="17" t="str">
        <f>IF(K448="","",IFERROR(VLOOKUP(K448,COA!A:B,2,FALSE),"-"))</f>
        <v/>
      </c>
      <c r="M448" s="17"/>
      <c r="N448" s="17" t="str">
        <f>IF(M448="","",IFERROR(VLOOKUP(M448,COA!A:B,2,FALSE),"-"))</f>
        <v/>
      </c>
    </row>
    <row r="449">
      <c r="A449" s="43"/>
      <c r="C449" s="17"/>
      <c r="G449" s="17"/>
      <c r="H449" s="22"/>
      <c r="I449" s="20" t="str">
        <f t="shared" si="1"/>
        <v/>
      </c>
      <c r="J449" s="17"/>
      <c r="K449" s="17"/>
      <c r="L449" s="17" t="str">
        <f>IF(K449="","",IFERROR(VLOOKUP(K449,COA!A:B,2,FALSE),"-"))</f>
        <v/>
      </c>
      <c r="M449" s="17"/>
      <c r="N449" s="17" t="str">
        <f>IF(M449="","",IFERROR(VLOOKUP(M449,COA!A:B,2,FALSE),"-"))</f>
        <v/>
      </c>
    </row>
    <row r="450">
      <c r="A450" s="43"/>
      <c r="C450" s="17"/>
      <c r="G450" s="17"/>
      <c r="H450" s="22"/>
      <c r="I450" s="20" t="str">
        <f t="shared" si="1"/>
        <v/>
      </c>
      <c r="J450" s="17"/>
      <c r="K450" s="17"/>
      <c r="L450" s="17" t="str">
        <f>IF(K450="","",IFERROR(VLOOKUP(K450,COA!A:B,2,FALSE),"-"))</f>
        <v/>
      </c>
      <c r="M450" s="17"/>
      <c r="N450" s="17" t="str">
        <f>IF(M450="","",IFERROR(VLOOKUP(M450,COA!A:B,2,FALSE),"-"))</f>
        <v/>
      </c>
    </row>
    <row r="451">
      <c r="A451" s="43"/>
      <c r="C451" s="17"/>
      <c r="G451" s="17"/>
      <c r="H451" s="22"/>
      <c r="I451" s="20" t="str">
        <f t="shared" si="1"/>
        <v/>
      </c>
      <c r="J451" s="17"/>
      <c r="K451" s="17"/>
      <c r="L451" s="17" t="str">
        <f>IF(K451="","",IFERROR(VLOOKUP(K451,COA!A:B,2,FALSE),"-"))</f>
        <v/>
      </c>
      <c r="M451" s="17"/>
      <c r="N451" s="17" t="str">
        <f>IF(M451="","",IFERROR(VLOOKUP(M451,COA!A:B,2,FALSE),"-"))</f>
        <v/>
      </c>
    </row>
    <row r="452">
      <c r="A452" s="43"/>
      <c r="C452" s="17"/>
      <c r="G452" s="17"/>
      <c r="H452" s="22"/>
      <c r="I452" s="20" t="str">
        <f t="shared" si="1"/>
        <v/>
      </c>
      <c r="J452" s="17"/>
      <c r="K452" s="17"/>
      <c r="L452" s="17" t="str">
        <f>IF(K452="","",IFERROR(VLOOKUP(K452,COA!A:B,2,FALSE),"-"))</f>
        <v/>
      </c>
      <c r="M452" s="17"/>
      <c r="N452" s="17" t="str">
        <f>IF(M452="","",IFERROR(VLOOKUP(M452,COA!A:B,2,FALSE),"-"))</f>
        <v/>
      </c>
    </row>
    <row r="453">
      <c r="A453" s="43"/>
      <c r="C453" s="17"/>
      <c r="G453" s="17"/>
      <c r="H453" s="22"/>
      <c r="I453" s="20" t="str">
        <f t="shared" si="1"/>
        <v/>
      </c>
      <c r="J453" s="17"/>
      <c r="K453" s="17"/>
      <c r="L453" s="17" t="str">
        <f>IF(K453="","",IFERROR(VLOOKUP(K453,COA!A:B,2,FALSE),"-"))</f>
        <v/>
      </c>
      <c r="M453" s="17"/>
      <c r="N453" s="17" t="str">
        <f>IF(M453="","",IFERROR(VLOOKUP(M453,COA!A:B,2,FALSE),"-"))</f>
        <v/>
      </c>
    </row>
    <row r="454">
      <c r="A454" s="43"/>
      <c r="C454" s="17"/>
      <c r="G454" s="17"/>
      <c r="H454" s="22"/>
      <c r="I454" s="20" t="str">
        <f t="shared" si="1"/>
        <v/>
      </c>
      <c r="J454" s="17"/>
      <c r="K454" s="17"/>
      <c r="L454" s="17" t="str">
        <f>IF(K454="","",IFERROR(VLOOKUP(K454,COA!A:B,2,FALSE),"-"))</f>
        <v/>
      </c>
      <c r="M454" s="17"/>
      <c r="N454" s="17" t="str">
        <f>IF(M454="","",IFERROR(VLOOKUP(M454,COA!A:B,2,FALSE),"-"))</f>
        <v/>
      </c>
    </row>
    <row r="455">
      <c r="A455" s="43"/>
      <c r="C455" s="17"/>
      <c r="G455" s="17"/>
      <c r="H455" s="22"/>
      <c r="I455" s="20" t="str">
        <f t="shared" si="1"/>
        <v/>
      </c>
      <c r="J455" s="17"/>
      <c r="K455" s="17"/>
      <c r="L455" s="17" t="str">
        <f>IF(K455="","",IFERROR(VLOOKUP(K455,COA!A:B,2,FALSE),"-"))</f>
        <v/>
      </c>
      <c r="M455" s="17"/>
      <c r="N455" s="17" t="str">
        <f>IF(M455="","",IFERROR(VLOOKUP(M455,COA!A:B,2,FALSE),"-"))</f>
        <v/>
      </c>
    </row>
    <row r="456">
      <c r="A456" s="43"/>
      <c r="C456" s="17"/>
      <c r="G456" s="17"/>
      <c r="H456" s="22"/>
      <c r="I456" s="20" t="str">
        <f t="shared" si="1"/>
        <v/>
      </c>
      <c r="J456" s="17"/>
      <c r="K456" s="17"/>
      <c r="L456" s="17" t="str">
        <f>IF(K456="","",IFERROR(VLOOKUP(K456,COA!A:B,2,FALSE),"-"))</f>
        <v/>
      </c>
      <c r="M456" s="17"/>
      <c r="N456" s="17" t="str">
        <f>IF(M456="","",IFERROR(VLOOKUP(M456,COA!A:B,2,FALSE),"-"))</f>
        <v/>
      </c>
    </row>
    <row r="457">
      <c r="A457" s="43"/>
      <c r="C457" s="17"/>
      <c r="G457" s="17"/>
      <c r="H457" s="22"/>
      <c r="I457" s="20" t="str">
        <f t="shared" si="1"/>
        <v/>
      </c>
      <c r="J457" s="17"/>
      <c r="K457" s="17"/>
      <c r="L457" s="17" t="str">
        <f>IF(K457="","",IFERROR(VLOOKUP(K457,COA!A:B,2,FALSE),"-"))</f>
        <v/>
      </c>
      <c r="M457" s="17"/>
      <c r="N457" s="17" t="str">
        <f>IF(M457="","",IFERROR(VLOOKUP(M457,COA!A:B,2,FALSE),"-"))</f>
        <v/>
      </c>
    </row>
    <row r="458">
      <c r="A458" s="43"/>
      <c r="C458" s="17"/>
      <c r="G458" s="17"/>
      <c r="H458" s="22"/>
      <c r="I458" s="20" t="str">
        <f t="shared" si="1"/>
        <v/>
      </c>
      <c r="J458" s="17"/>
      <c r="K458" s="17"/>
      <c r="L458" s="17" t="str">
        <f>IF(K458="","",IFERROR(VLOOKUP(K458,COA!A:B,2,FALSE),"-"))</f>
        <v/>
      </c>
      <c r="M458" s="17"/>
      <c r="N458" s="17" t="str">
        <f>IF(M458="","",IFERROR(VLOOKUP(M458,COA!A:B,2,FALSE),"-"))</f>
        <v/>
      </c>
    </row>
    <row r="459">
      <c r="A459" s="43"/>
      <c r="C459" s="17"/>
      <c r="G459" s="17"/>
      <c r="H459" s="22"/>
      <c r="I459" s="20" t="str">
        <f t="shared" si="1"/>
        <v/>
      </c>
      <c r="J459" s="17"/>
      <c r="K459" s="17"/>
      <c r="L459" s="17" t="str">
        <f>IF(K459="","",IFERROR(VLOOKUP(K459,COA!A:B,2,FALSE),"-"))</f>
        <v/>
      </c>
      <c r="M459" s="17"/>
      <c r="N459" s="17" t="str">
        <f>IF(M459="","",IFERROR(VLOOKUP(M459,COA!A:B,2,FALSE),"-"))</f>
        <v/>
      </c>
    </row>
    <row r="460">
      <c r="A460" s="43"/>
      <c r="C460" s="17"/>
      <c r="G460" s="17"/>
      <c r="H460" s="22"/>
      <c r="I460" s="20" t="str">
        <f t="shared" si="1"/>
        <v/>
      </c>
      <c r="J460" s="17"/>
      <c r="K460" s="17"/>
      <c r="L460" s="17" t="str">
        <f>IF(K460="","",IFERROR(VLOOKUP(K460,COA!A:B,2,FALSE),"-"))</f>
        <v/>
      </c>
      <c r="M460" s="17"/>
      <c r="N460" s="17" t="str">
        <f>IF(M460="","",IFERROR(VLOOKUP(M460,COA!A:B,2,FALSE),"-"))</f>
        <v/>
      </c>
    </row>
    <row r="461">
      <c r="A461" s="43"/>
      <c r="C461" s="17"/>
      <c r="G461" s="17"/>
      <c r="H461" s="22"/>
      <c r="I461" s="20" t="str">
        <f t="shared" si="1"/>
        <v/>
      </c>
      <c r="J461" s="17"/>
      <c r="K461" s="17"/>
      <c r="L461" s="17" t="str">
        <f>IF(K461="","",IFERROR(VLOOKUP(K461,COA!A:B,2,FALSE),"-"))</f>
        <v/>
      </c>
      <c r="M461" s="17"/>
      <c r="N461" s="17" t="str">
        <f>IF(M461="","",IFERROR(VLOOKUP(M461,COA!A:B,2,FALSE),"-"))</f>
        <v/>
      </c>
    </row>
    <row r="462">
      <c r="A462" s="43"/>
      <c r="C462" s="17"/>
      <c r="G462" s="17"/>
      <c r="H462" s="22"/>
      <c r="I462" s="20" t="str">
        <f t="shared" si="1"/>
        <v/>
      </c>
      <c r="J462" s="17"/>
      <c r="K462" s="17"/>
      <c r="L462" s="17" t="str">
        <f>IF(K462="","",IFERROR(VLOOKUP(K462,COA!A:B,2,FALSE),"-"))</f>
        <v/>
      </c>
      <c r="M462" s="17"/>
      <c r="N462" s="17" t="str">
        <f>IF(M462="","",IFERROR(VLOOKUP(M462,COA!A:B,2,FALSE),"-"))</f>
        <v/>
      </c>
    </row>
    <row r="463">
      <c r="A463" s="43"/>
      <c r="C463" s="17"/>
      <c r="G463" s="17"/>
      <c r="H463" s="22"/>
      <c r="I463" s="20" t="str">
        <f t="shared" si="1"/>
        <v/>
      </c>
      <c r="J463" s="17"/>
      <c r="K463" s="17"/>
      <c r="L463" s="17" t="str">
        <f>IF(K463="","",IFERROR(VLOOKUP(K463,COA!A:B,2,FALSE),"-"))</f>
        <v/>
      </c>
      <c r="M463" s="17"/>
      <c r="N463" s="17" t="str">
        <f>IF(M463="","",IFERROR(VLOOKUP(M463,COA!A:B,2,FALSE),"-"))</f>
        <v/>
      </c>
    </row>
    <row r="464">
      <c r="A464" s="43"/>
      <c r="C464" s="17"/>
      <c r="G464" s="17"/>
      <c r="H464" s="22"/>
      <c r="I464" s="20" t="str">
        <f t="shared" si="1"/>
        <v/>
      </c>
      <c r="J464" s="17"/>
      <c r="K464" s="17"/>
      <c r="L464" s="17" t="str">
        <f>IF(K464="","",IFERROR(VLOOKUP(K464,COA!A:B,2,FALSE),"-"))</f>
        <v/>
      </c>
      <c r="M464" s="17"/>
      <c r="N464" s="17" t="str">
        <f>IF(M464="","",IFERROR(VLOOKUP(M464,COA!A:B,2,FALSE),"-"))</f>
        <v/>
      </c>
    </row>
    <row r="465">
      <c r="A465" s="43"/>
      <c r="C465" s="17"/>
      <c r="G465" s="17"/>
      <c r="H465" s="22"/>
      <c r="I465" s="20" t="str">
        <f t="shared" si="1"/>
        <v/>
      </c>
      <c r="J465" s="17"/>
      <c r="K465" s="17"/>
      <c r="L465" s="17" t="str">
        <f>IF(K465="","",IFERROR(VLOOKUP(K465,COA!A:B,2,FALSE),"-"))</f>
        <v/>
      </c>
      <c r="M465" s="17"/>
      <c r="N465" s="17" t="str">
        <f>IF(M465="","",IFERROR(VLOOKUP(M465,COA!A:B,2,FALSE),"-"))</f>
        <v/>
      </c>
    </row>
    <row r="466">
      <c r="A466" s="43"/>
      <c r="C466" s="17"/>
      <c r="G466" s="17"/>
      <c r="H466" s="22"/>
      <c r="I466" s="20" t="str">
        <f t="shared" si="1"/>
        <v/>
      </c>
      <c r="J466" s="17"/>
      <c r="K466" s="17"/>
      <c r="L466" s="17" t="str">
        <f>IF(K466="","",IFERROR(VLOOKUP(K466,COA!A:B,2,FALSE),"-"))</f>
        <v/>
      </c>
      <c r="M466" s="17"/>
      <c r="N466" s="17" t="str">
        <f>IF(M466="","",IFERROR(VLOOKUP(M466,COA!A:B,2,FALSE),"-"))</f>
        <v/>
      </c>
    </row>
    <row r="467">
      <c r="A467" s="43"/>
      <c r="C467" s="17"/>
      <c r="G467" s="17"/>
      <c r="H467" s="22"/>
      <c r="I467" s="20" t="str">
        <f t="shared" si="1"/>
        <v/>
      </c>
      <c r="J467" s="17"/>
      <c r="K467" s="17"/>
      <c r="L467" s="17" t="str">
        <f>IF(K467="","",IFERROR(VLOOKUP(K467,COA!A:B,2,FALSE),"-"))</f>
        <v/>
      </c>
      <c r="M467" s="17"/>
      <c r="N467" s="17" t="str">
        <f>IF(M467="","",IFERROR(VLOOKUP(M467,COA!A:B,2,FALSE),"-"))</f>
        <v/>
      </c>
    </row>
    <row r="468">
      <c r="A468" s="43"/>
      <c r="C468" s="17"/>
      <c r="G468" s="17"/>
      <c r="H468" s="22"/>
      <c r="I468" s="20" t="str">
        <f t="shared" si="1"/>
        <v/>
      </c>
      <c r="J468" s="17"/>
      <c r="K468" s="17"/>
      <c r="L468" s="17" t="str">
        <f>IF(K468="","",IFERROR(VLOOKUP(K468,COA!A:B,2,FALSE),"-"))</f>
        <v/>
      </c>
      <c r="M468" s="17"/>
      <c r="N468" s="17" t="str">
        <f>IF(M468="","",IFERROR(VLOOKUP(M468,COA!A:B,2,FALSE),"-"))</f>
        <v/>
      </c>
    </row>
    <row r="469">
      <c r="A469" s="43"/>
      <c r="C469" s="17"/>
      <c r="G469" s="17"/>
      <c r="H469" s="22"/>
      <c r="I469" s="20" t="str">
        <f t="shared" si="1"/>
        <v/>
      </c>
      <c r="J469" s="17"/>
      <c r="K469" s="17"/>
      <c r="L469" s="17" t="str">
        <f>IF(K469="","",IFERROR(VLOOKUP(K469,COA!A:B,2,FALSE),"-"))</f>
        <v/>
      </c>
      <c r="M469" s="17"/>
      <c r="N469" s="17" t="str">
        <f>IF(M469="","",IFERROR(VLOOKUP(M469,COA!A:B,2,FALSE),"-"))</f>
        <v/>
      </c>
    </row>
    <row r="470">
      <c r="A470" s="43"/>
      <c r="C470" s="17"/>
      <c r="G470" s="17"/>
      <c r="H470" s="22"/>
      <c r="I470" s="20" t="str">
        <f t="shared" si="1"/>
        <v/>
      </c>
      <c r="J470" s="17"/>
      <c r="K470" s="17"/>
      <c r="L470" s="17" t="str">
        <f>IF(K470="","",IFERROR(VLOOKUP(K470,COA!A:B,2,FALSE),"-"))</f>
        <v/>
      </c>
      <c r="M470" s="17"/>
      <c r="N470" s="17" t="str">
        <f>IF(M470="","",IFERROR(VLOOKUP(M470,COA!A:B,2,FALSE),"-"))</f>
        <v/>
      </c>
    </row>
    <row r="471">
      <c r="A471" s="43"/>
      <c r="C471" s="17"/>
      <c r="G471" s="17"/>
      <c r="H471" s="22"/>
      <c r="I471" s="20" t="str">
        <f t="shared" si="1"/>
        <v/>
      </c>
      <c r="J471" s="17"/>
      <c r="K471" s="17"/>
      <c r="L471" s="17" t="str">
        <f>IF(K471="","",IFERROR(VLOOKUP(K471,COA!A:B,2,FALSE),"-"))</f>
        <v/>
      </c>
      <c r="M471" s="17"/>
      <c r="N471" s="17" t="str">
        <f>IF(M471="","",IFERROR(VLOOKUP(M471,COA!A:B,2,FALSE),"-"))</f>
        <v/>
      </c>
    </row>
    <row r="472">
      <c r="A472" s="43"/>
      <c r="C472" s="17"/>
      <c r="G472" s="17"/>
      <c r="H472" s="22"/>
      <c r="I472" s="20" t="str">
        <f t="shared" si="1"/>
        <v/>
      </c>
      <c r="J472" s="17"/>
      <c r="K472" s="17"/>
      <c r="L472" s="17" t="str">
        <f>IF(K472="","",IFERROR(VLOOKUP(K472,COA!A:B,2,FALSE),"-"))</f>
        <v/>
      </c>
      <c r="M472" s="17"/>
      <c r="N472" s="17" t="str">
        <f>IF(M472="","",IFERROR(VLOOKUP(M472,COA!A:B,2,FALSE),"-"))</f>
        <v/>
      </c>
    </row>
    <row r="473">
      <c r="A473" s="43"/>
      <c r="C473" s="17"/>
      <c r="G473" s="17"/>
      <c r="H473" s="22"/>
      <c r="I473" s="20" t="str">
        <f t="shared" si="1"/>
        <v/>
      </c>
      <c r="J473" s="17"/>
      <c r="K473" s="17"/>
      <c r="L473" s="17" t="str">
        <f>IF(K473="","",IFERROR(VLOOKUP(K473,COA!A:B,2,FALSE),"-"))</f>
        <v/>
      </c>
      <c r="M473" s="17"/>
      <c r="N473" s="17" t="str">
        <f>IF(M473="","",IFERROR(VLOOKUP(M473,COA!A:B,2,FALSE),"-"))</f>
        <v/>
      </c>
    </row>
    <row r="474">
      <c r="A474" s="43"/>
      <c r="C474" s="17"/>
      <c r="G474" s="17"/>
      <c r="H474" s="22"/>
      <c r="I474" s="20" t="str">
        <f t="shared" si="1"/>
        <v/>
      </c>
      <c r="J474" s="17"/>
      <c r="K474" s="17"/>
      <c r="L474" s="17" t="str">
        <f>IF(K474="","",IFERROR(VLOOKUP(K474,COA!A:B,2,FALSE),"-"))</f>
        <v/>
      </c>
      <c r="M474" s="17"/>
      <c r="N474" s="17" t="str">
        <f>IF(M474="","",IFERROR(VLOOKUP(M474,COA!A:B,2,FALSE),"-"))</f>
        <v/>
      </c>
    </row>
    <row r="475">
      <c r="A475" s="43"/>
      <c r="C475" s="17"/>
      <c r="G475" s="17"/>
      <c r="H475" s="22"/>
      <c r="I475" s="20" t="str">
        <f t="shared" si="1"/>
        <v/>
      </c>
      <c r="J475" s="17"/>
      <c r="K475" s="17"/>
      <c r="L475" s="17" t="str">
        <f>IF(K475="","",IFERROR(VLOOKUP(K475,COA!A:B,2,FALSE),"-"))</f>
        <v/>
      </c>
      <c r="M475" s="17"/>
      <c r="N475" s="17" t="str">
        <f>IF(M475="","",IFERROR(VLOOKUP(M475,COA!A:B,2,FALSE),"-"))</f>
        <v/>
      </c>
    </row>
    <row r="476">
      <c r="A476" s="43"/>
      <c r="C476" s="17"/>
      <c r="G476" s="17"/>
      <c r="H476" s="22"/>
      <c r="I476" s="20" t="str">
        <f t="shared" si="1"/>
        <v/>
      </c>
      <c r="J476" s="17"/>
      <c r="K476" s="17"/>
      <c r="L476" s="17" t="str">
        <f>IF(K476="","",IFERROR(VLOOKUP(K476,COA!A:B,2,FALSE),"-"))</f>
        <v/>
      </c>
      <c r="M476" s="17"/>
      <c r="N476" s="17" t="str">
        <f>IF(M476="","",IFERROR(VLOOKUP(M476,COA!A:B,2,FALSE),"-"))</f>
        <v/>
      </c>
    </row>
    <row r="477">
      <c r="A477" s="43"/>
      <c r="C477" s="17"/>
      <c r="G477" s="17"/>
      <c r="H477" s="22"/>
      <c r="I477" s="20" t="str">
        <f t="shared" si="1"/>
        <v/>
      </c>
      <c r="J477" s="17"/>
      <c r="K477" s="17"/>
      <c r="L477" s="17" t="str">
        <f>IF(K477="","",IFERROR(VLOOKUP(K477,COA!A:B,2,FALSE),"-"))</f>
        <v/>
      </c>
      <c r="M477" s="17"/>
      <c r="N477" s="17" t="str">
        <f>IF(M477="","",IFERROR(VLOOKUP(M477,COA!A:B,2,FALSE),"-"))</f>
        <v/>
      </c>
    </row>
    <row r="478">
      <c r="A478" s="43"/>
      <c r="C478" s="17"/>
      <c r="G478" s="17"/>
      <c r="H478" s="22"/>
      <c r="I478" s="20" t="str">
        <f t="shared" si="1"/>
        <v/>
      </c>
      <c r="J478" s="17"/>
      <c r="K478" s="17"/>
      <c r="L478" s="17" t="str">
        <f>IF(K478="","",IFERROR(VLOOKUP(K478,COA!A:B,2,FALSE),"-"))</f>
        <v/>
      </c>
      <c r="M478" s="17"/>
      <c r="N478" s="17" t="str">
        <f>IF(M478="","",IFERROR(VLOOKUP(M478,COA!A:B,2,FALSE),"-"))</f>
        <v/>
      </c>
    </row>
    <row r="479">
      <c r="A479" s="43"/>
      <c r="C479" s="17"/>
      <c r="G479" s="17"/>
      <c r="H479" s="22"/>
      <c r="I479" s="20" t="str">
        <f t="shared" si="1"/>
        <v/>
      </c>
      <c r="J479" s="17"/>
      <c r="K479" s="17"/>
      <c r="L479" s="17" t="str">
        <f>IF(K479="","",IFERROR(VLOOKUP(K479,COA!A:B,2,FALSE),"-"))</f>
        <v/>
      </c>
      <c r="M479" s="17"/>
      <c r="N479" s="17" t="str">
        <f>IF(M479="","",IFERROR(VLOOKUP(M479,COA!A:B,2,FALSE),"-"))</f>
        <v/>
      </c>
    </row>
    <row r="480">
      <c r="A480" s="43"/>
      <c r="C480" s="17"/>
      <c r="G480" s="17"/>
      <c r="H480" s="22"/>
      <c r="I480" s="20" t="str">
        <f t="shared" si="1"/>
        <v/>
      </c>
      <c r="J480" s="17"/>
      <c r="K480" s="17"/>
      <c r="L480" s="17" t="str">
        <f>IF(K480="","",IFERROR(VLOOKUP(K480,COA!A:B,2,FALSE),"-"))</f>
        <v/>
      </c>
      <c r="M480" s="17"/>
      <c r="N480" s="17" t="str">
        <f>IF(M480="","",IFERROR(VLOOKUP(M480,COA!A:B,2,FALSE),"-"))</f>
        <v/>
      </c>
    </row>
    <row r="481">
      <c r="A481" s="43"/>
      <c r="C481" s="17"/>
      <c r="G481" s="17"/>
      <c r="H481" s="22"/>
      <c r="I481" s="20" t="str">
        <f t="shared" si="1"/>
        <v/>
      </c>
      <c r="J481" s="17"/>
      <c r="K481" s="17"/>
      <c r="L481" s="17" t="str">
        <f>IF(K481="","",IFERROR(VLOOKUP(K481,COA!A:B,2,FALSE),"-"))</f>
        <v/>
      </c>
      <c r="M481" s="17"/>
      <c r="N481" s="17" t="str">
        <f>IF(M481="","",IFERROR(VLOOKUP(M481,COA!A:B,2,FALSE),"-"))</f>
        <v/>
      </c>
    </row>
    <row r="482">
      <c r="A482" s="43"/>
      <c r="C482" s="17"/>
      <c r="G482" s="17"/>
      <c r="H482" s="22"/>
      <c r="I482" s="20" t="str">
        <f t="shared" si="1"/>
        <v/>
      </c>
      <c r="J482" s="17"/>
      <c r="K482" s="17"/>
      <c r="L482" s="17" t="str">
        <f>IF(K482="","",IFERROR(VLOOKUP(K482,COA!A:B,2,FALSE),"-"))</f>
        <v/>
      </c>
      <c r="M482" s="17"/>
      <c r="N482" s="17" t="str">
        <f>IF(M482="","",IFERROR(VLOOKUP(M482,COA!A:B,2,FALSE),"-"))</f>
        <v/>
      </c>
    </row>
    <row r="483">
      <c r="A483" s="43"/>
      <c r="C483" s="17"/>
      <c r="G483" s="17"/>
      <c r="H483" s="22"/>
      <c r="I483" s="20" t="str">
        <f t="shared" si="1"/>
        <v/>
      </c>
      <c r="J483" s="17"/>
      <c r="K483" s="17"/>
      <c r="L483" s="17" t="str">
        <f>IF(K483="","",IFERROR(VLOOKUP(K483,COA!A:B,2,FALSE),"-"))</f>
        <v/>
      </c>
      <c r="M483" s="17"/>
      <c r="N483" s="17" t="str">
        <f>IF(M483="","",IFERROR(VLOOKUP(M483,COA!A:B,2,FALSE),"-"))</f>
        <v/>
      </c>
    </row>
    <row r="484">
      <c r="A484" s="43"/>
      <c r="C484" s="17"/>
      <c r="G484" s="17"/>
      <c r="H484" s="22"/>
      <c r="I484" s="20" t="str">
        <f t="shared" si="1"/>
        <v/>
      </c>
      <c r="J484" s="17"/>
      <c r="K484" s="17"/>
      <c r="L484" s="17" t="str">
        <f>IF(K484="","",IFERROR(VLOOKUP(K484,COA!A:B,2,FALSE),"-"))</f>
        <v/>
      </c>
      <c r="M484" s="17"/>
      <c r="N484" s="17" t="str">
        <f>IF(M484="","",IFERROR(VLOOKUP(M484,COA!A:B,2,FALSE),"-"))</f>
        <v/>
      </c>
    </row>
    <row r="485">
      <c r="A485" s="43"/>
      <c r="C485" s="17"/>
      <c r="G485" s="17"/>
      <c r="H485" s="22"/>
      <c r="I485" s="20" t="str">
        <f t="shared" si="1"/>
        <v/>
      </c>
      <c r="J485" s="17"/>
      <c r="K485" s="17"/>
      <c r="L485" s="17" t="str">
        <f>IF(K485="","",IFERROR(VLOOKUP(K485,COA!A:B,2,FALSE),"-"))</f>
        <v/>
      </c>
      <c r="M485" s="17"/>
      <c r="N485" s="17" t="str">
        <f>IF(M485="","",IFERROR(VLOOKUP(M485,COA!A:B,2,FALSE),"-"))</f>
        <v/>
      </c>
    </row>
    <row r="486">
      <c r="A486" s="43"/>
      <c r="C486" s="17"/>
      <c r="G486" s="17"/>
      <c r="H486" s="22"/>
      <c r="I486" s="20" t="str">
        <f t="shared" si="1"/>
        <v/>
      </c>
      <c r="J486" s="17"/>
      <c r="K486" s="17"/>
      <c r="L486" s="17" t="str">
        <f>IF(K486="","",IFERROR(VLOOKUP(K486,COA!A:B,2,FALSE),"-"))</f>
        <v/>
      </c>
      <c r="M486" s="17"/>
      <c r="N486" s="17" t="str">
        <f>IF(M486="","",IFERROR(VLOOKUP(M486,COA!A:B,2,FALSE),"-"))</f>
        <v/>
      </c>
    </row>
    <row r="487">
      <c r="A487" s="43"/>
      <c r="C487" s="17"/>
      <c r="G487" s="17"/>
      <c r="H487" s="22"/>
      <c r="I487" s="20" t="str">
        <f t="shared" si="1"/>
        <v/>
      </c>
      <c r="J487" s="17"/>
      <c r="K487" s="17"/>
      <c r="L487" s="17" t="str">
        <f>IF(K487="","",IFERROR(VLOOKUP(K487,COA!A:B,2,FALSE),"-"))</f>
        <v/>
      </c>
      <c r="M487" s="17"/>
      <c r="N487" s="17" t="str">
        <f>IF(M487="","",IFERROR(VLOOKUP(M487,COA!A:B,2,FALSE),"-"))</f>
        <v/>
      </c>
    </row>
    <row r="488">
      <c r="A488" s="43"/>
      <c r="C488" s="17"/>
      <c r="G488" s="17"/>
      <c r="H488" s="22"/>
      <c r="I488" s="20" t="str">
        <f t="shared" si="1"/>
        <v/>
      </c>
      <c r="J488" s="17"/>
      <c r="K488" s="17"/>
      <c r="L488" s="17" t="str">
        <f>IF(K488="","",IFERROR(VLOOKUP(K488,COA!A:B,2,FALSE),"-"))</f>
        <v/>
      </c>
      <c r="M488" s="17"/>
      <c r="N488" s="17" t="str">
        <f>IF(M488="","",IFERROR(VLOOKUP(M488,COA!A:B,2,FALSE),"-"))</f>
        <v/>
      </c>
    </row>
    <row r="489">
      <c r="A489" s="43"/>
      <c r="C489" s="17"/>
      <c r="G489" s="17"/>
      <c r="H489" s="22"/>
      <c r="I489" s="20" t="str">
        <f t="shared" si="1"/>
        <v/>
      </c>
      <c r="J489" s="17"/>
      <c r="K489" s="17"/>
      <c r="L489" s="17" t="str">
        <f>IF(K489="","",IFERROR(VLOOKUP(K489,COA!A:B,2,FALSE),"-"))</f>
        <v/>
      </c>
      <c r="M489" s="17"/>
      <c r="N489" s="17" t="str">
        <f>IF(M489="","",IFERROR(VLOOKUP(M489,COA!A:B,2,FALSE),"-"))</f>
        <v/>
      </c>
    </row>
    <row r="490">
      <c r="A490" s="43"/>
      <c r="C490" s="17"/>
      <c r="G490" s="17"/>
      <c r="H490" s="22"/>
      <c r="I490" s="20" t="str">
        <f t="shared" si="1"/>
        <v/>
      </c>
      <c r="J490" s="17"/>
      <c r="K490" s="17"/>
      <c r="L490" s="17" t="str">
        <f>IF(K490="","",IFERROR(VLOOKUP(K490,COA!A:B,2,FALSE),"-"))</f>
        <v/>
      </c>
      <c r="M490" s="17"/>
      <c r="N490" s="17" t="str">
        <f>IF(M490="","",IFERROR(VLOOKUP(M490,COA!A:B,2,FALSE),"-"))</f>
        <v/>
      </c>
    </row>
    <row r="491">
      <c r="A491" s="43"/>
      <c r="C491" s="17"/>
      <c r="G491" s="17"/>
      <c r="H491" s="22"/>
      <c r="I491" s="20" t="str">
        <f t="shared" si="1"/>
        <v/>
      </c>
      <c r="J491" s="17"/>
      <c r="K491" s="17"/>
      <c r="L491" s="17" t="str">
        <f>IF(K491="","",IFERROR(VLOOKUP(K491,COA!A:B,2,FALSE),"-"))</f>
        <v/>
      </c>
      <c r="M491" s="17"/>
      <c r="N491" s="17" t="str">
        <f>IF(M491="","",IFERROR(VLOOKUP(M491,COA!A:B,2,FALSE),"-"))</f>
        <v/>
      </c>
    </row>
    <row r="492">
      <c r="A492" s="43"/>
      <c r="C492" s="17"/>
      <c r="G492" s="17"/>
      <c r="H492" s="22"/>
      <c r="I492" s="20" t="str">
        <f t="shared" si="1"/>
        <v/>
      </c>
      <c r="J492" s="17"/>
      <c r="K492" s="17"/>
      <c r="L492" s="17" t="str">
        <f>IF(K492="","",IFERROR(VLOOKUP(K492,COA!A:B,2,FALSE),"-"))</f>
        <v/>
      </c>
      <c r="M492" s="17"/>
      <c r="N492" s="17" t="str">
        <f>IF(M492="","",IFERROR(VLOOKUP(M492,COA!A:B,2,FALSE),"-"))</f>
        <v/>
      </c>
    </row>
    <row r="493">
      <c r="A493" s="43"/>
      <c r="C493" s="17"/>
      <c r="G493" s="17"/>
      <c r="H493" s="22"/>
      <c r="I493" s="20" t="str">
        <f t="shared" si="1"/>
        <v/>
      </c>
      <c r="J493" s="17"/>
      <c r="K493" s="17"/>
      <c r="L493" s="17" t="str">
        <f>IF(K493="","",IFERROR(VLOOKUP(K493,COA!A:B,2,FALSE),"-"))</f>
        <v/>
      </c>
      <c r="M493" s="17"/>
      <c r="N493" s="17" t="str">
        <f>IF(M493="","",IFERROR(VLOOKUP(M493,COA!A:B,2,FALSE),"-"))</f>
        <v/>
      </c>
    </row>
    <row r="494">
      <c r="A494" s="43"/>
      <c r="C494" s="17"/>
      <c r="G494" s="17"/>
      <c r="H494" s="22"/>
      <c r="I494" s="20" t="str">
        <f t="shared" si="1"/>
        <v/>
      </c>
      <c r="J494" s="17"/>
      <c r="K494" s="17"/>
      <c r="L494" s="17" t="str">
        <f>IF(K494="","",IFERROR(VLOOKUP(K494,COA!A:B,2,FALSE),"-"))</f>
        <v/>
      </c>
      <c r="M494" s="17"/>
      <c r="N494" s="17" t="str">
        <f>IF(M494="","",IFERROR(VLOOKUP(M494,COA!A:B,2,FALSE),"-"))</f>
        <v/>
      </c>
    </row>
    <row r="495">
      <c r="A495" s="43"/>
      <c r="C495" s="17"/>
      <c r="G495" s="17"/>
      <c r="H495" s="22"/>
      <c r="I495" s="20" t="str">
        <f t="shared" si="1"/>
        <v/>
      </c>
      <c r="J495" s="17"/>
      <c r="K495" s="17"/>
      <c r="L495" s="17" t="str">
        <f>IF(K495="","",IFERROR(VLOOKUP(K495,COA!A:B,2,FALSE),"-"))</f>
        <v/>
      </c>
      <c r="M495" s="17"/>
      <c r="N495" s="17" t="str">
        <f>IF(M495="","",IFERROR(VLOOKUP(M495,COA!A:B,2,FALSE),"-"))</f>
        <v/>
      </c>
    </row>
    <row r="496">
      <c r="A496" s="43"/>
      <c r="C496" s="17"/>
      <c r="G496" s="17"/>
      <c r="H496" s="22"/>
      <c r="I496" s="20" t="str">
        <f t="shared" si="1"/>
        <v/>
      </c>
      <c r="J496" s="17"/>
      <c r="K496" s="17"/>
      <c r="L496" s="17" t="str">
        <f>IF(K496="","",IFERROR(VLOOKUP(K496,COA!A:B,2,FALSE),"-"))</f>
        <v/>
      </c>
      <c r="M496" s="17"/>
      <c r="N496" s="17" t="str">
        <f>IF(M496="","",IFERROR(VLOOKUP(M496,COA!A:B,2,FALSE),"-"))</f>
        <v/>
      </c>
    </row>
    <row r="497">
      <c r="A497" s="43"/>
      <c r="C497" s="17"/>
      <c r="G497" s="17"/>
      <c r="H497" s="22"/>
      <c r="I497" s="20" t="str">
        <f t="shared" si="1"/>
        <v/>
      </c>
      <c r="J497" s="17"/>
      <c r="K497" s="17"/>
      <c r="L497" s="17" t="str">
        <f>IF(K497="","",IFERROR(VLOOKUP(K497,COA!A:B,2,FALSE),"-"))</f>
        <v/>
      </c>
      <c r="M497" s="17"/>
      <c r="N497" s="17" t="str">
        <f>IF(M497="","",IFERROR(VLOOKUP(M497,COA!A:B,2,FALSE),"-"))</f>
        <v/>
      </c>
    </row>
    <row r="498">
      <c r="A498" s="43"/>
      <c r="C498" s="17"/>
      <c r="G498" s="17"/>
      <c r="H498" s="22"/>
      <c r="I498" s="20" t="str">
        <f t="shared" si="1"/>
        <v/>
      </c>
      <c r="J498" s="17"/>
      <c r="K498" s="17"/>
      <c r="L498" s="17" t="str">
        <f>IF(K498="","",IFERROR(VLOOKUP(K498,COA!A:B,2,FALSE),"-"))</f>
        <v/>
      </c>
      <c r="M498" s="17"/>
      <c r="N498" s="17" t="str">
        <f>IF(M498="","",IFERROR(VLOOKUP(M498,COA!A:B,2,FALSE),"-"))</f>
        <v/>
      </c>
    </row>
    <row r="499">
      <c r="A499" s="43"/>
      <c r="C499" s="17"/>
      <c r="G499" s="17"/>
      <c r="H499" s="22"/>
      <c r="I499" s="20" t="str">
        <f t="shared" si="1"/>
        <v/>
      </c>
      <c r="J499" s="17"/>
      <c r="K499" s="17"/>
      <c r="L499" s="17" t="str">
        <f>IF(K499="","",IFERROR(VLOOKUP(K499,COA!A:B,2,FALSE),"-"))</f>
        <v/>
      </c>
      <c r="M499" s="17"/>
      <c r="N499" s="17" t="str">
        <f>IF(M499="","",IFERROR(VLOOKUP(M499,COA!A:B,2,FALSE),"-"))</f>
        <v/>
      </c>
    </row>
    <row r="500">
      <c r="A500" s="43"/>
      <c r="C500" s="17"/>
      <c r="G500" s="17"/>
      <c r="H500" s="22"/>
      <c r="I500" s="20" t="str">
        <f t="shared" si="1"/>
        <v/>
      </c>
      <c r="J500" s="17"/>
      <c r="K500" s="17"/>
      <c r="L500" s="17" t="str">
        <f>IF(K500="","",IFERROR(VLOOKUP(K500,COA!A:B,2,FALSE),"-"))</f>
        <v/>
      </c>
      <c r="M500" s="17"/>
      <c r="N500" s="17" t="str">
        <f>IF(M500="","",IFERROR(VLOOKUP(M500,COA!A:B,2,FALSE),"-"))</f>
        <v/>
      </c>
    </row>
    <row r="501">
      <c r="H501" s="22"/>
    </row>
    <row r="502">
      <c r="H502" s="22"/>
    </row>
    <row r="503">
      <c r="H503" s="22"/>
    </row>
    <row r="504">
      <c r="H504" s="22"/>
    </row>
    <row r="505">
      <c r="H505" s="22"/>
    </row>
    <row r="506">
      <c r="H506" s="22"/>
    </row>
    <row r="507">
      <c r="H507" s="22"/>
    </row>
    <row r="508">
      <c r="H508" s="22"/>
    </row>
    <row r="509">
      <c r="H509" s="22"/>
    </row>
    <row r="510">
      <c r="H510" s="22"/>
    </row>
    <row r="511">
      <c r="H511" s="22"/>
    </row>
    <row r="512">
      <c r="H512" s="22"/>
    </row>
    <row r="513">
      <c r="H513" s="22"/>
    </row>
    <row r="514">
      <c r="H514" s="22"/>
    </row>
    <row r="515">
      <c r="H515" s="22"/>
    </row>
    <row r="516">
      <c r="H516" s="22"/>
    </row>
    <row r="517">
      <c r="H517" s="22"/>
    </row>
    <row r="518">
      <c r="H518" s="22"/>
    </row>
    <row r="519">
      <c r="H519" s="22"/>
    </row>
    <row r="520">
      <c r="H520" s="22"/>
    </row>
    <row r="521">
      <c r="H521" s="22"/>
    </row>
    <row r="522">
      <c r="H522" s="22"/>
    </row>
    <row r="523">
      <c r="H523" s="22"/>
    </row>
    <row r="524">
      <c r="H524" s="22"/>
    </row>
    <row r="525">
      <c r="H525" s="22"/>
    </row>
    <row r="526">
      <c r="H526" s="22"/>
    </row>
    <row r="527">
      <c r="H527" s="22"/>
    </row>
    <row r="528">
      <c r="H528" s="22"/>
    </row>
    <row r="529">
      <c r="H529" s="22"/>
    </row>
    <row r="530">
      <c r="H530" s="22"/>
    </row>
    <row r="531">
      <c r="H531" s="22"/>
    </row>
    <row r="532">
      <c r="H532" s="22"/>
    </row>
    <row r="533">
      <c r="H533" s="22"/>
    </row>
    <row r="534">
      <c r="H534" s="22"/>
    </row>
    <row r="535">
      <c r="H535" s="22"/>
    </row>
    <row r="536">
      <c r="H536" s="22"/>
    </row>
    <row r="537">
      <c r="H537" s="22"/>
    </row>
    <row r="538">
      <c r="H538" s="22"/>
    </row>
    <row r="539">
      <c r="H539" s="22"/>
    </row>
    <row r="540">
      <c r="H540" s="22"/>
    </row>
    <row r="541">
      <c r="H541" s="22"/>
    </row>
    <row r="542">
      <c r="H542" s="22"/>
    </row>
    <row r="543">
      <c r="H543" s="22"/>
    </row>
    <row r="544">
      <c r="H544" s="22"/>
    </row>
    <row r="545">
      <c r="H545" s="22"/>
    </row>
    <row r="546">
      <c r="H546" s="22"/>
    </row>
    <row r="547">
      <c r="H547" s="22"/>
    </row>
    <row r="548">
      <c r="H548" s="22"/>
    </row>
    <row r="549">
      <c r="H549" s="22"/>
    </row>
    <row r="550">
      <c r="H550" s="22"/>
    </row>
    <row r="551">
      <c r="H551" s="22"/>
    </row>
    <row r="552">
      <c r="H552" s="22"/>
    </row>
    <row r="553">
      <c r="H553" s="22"/>
    </row>
    <row r="554">
      <c r="H554" s="22"/>
    </row>
    <row r="555">
      <c r="H555" s="22"/>
    </row>
    <row r="556">
      <c r="H556" s="22"/>
    </row>
    <row r="557">
      <c r="H557" s="22"/>
    </row>
    <row r="558">
      <c r="H558" s="22"/>
    </row>
    <row r="559">
      <c r="H559" s="22"/>
    </row>
    <row r="560">
      <c r="H560" s="22"/>
    </row>
    <row r="561">
      <c r="H561" s="22"/>
    </row>
    <row r="562">
      <c r="H562" s="22"/>
    </row>
    <row r="563">
      <c r="H563" s="22"/>
    </row>
    <row r="564">
      <c r="H564" s="22"/>
    </row>
    <row r="565">
      <c r="H565" s="22"/>
    </row>
    <row r="566">
      <c r="H566" s="22"/>
    </row>
    <row r="567">
      <c r="H567" s="22"/>
    </row>
    <row r="568">
      <c r="H568" s="22"/>
    </row>
    <row r="569">
      <c r="H569" s="22"/>
    </row>
    <row r="570">
      <c r="H570" s="22"/>
    </row>
    <row r="571">
      <c r="H571" s="22"/>
    </row>
    <row r="572">
      <c r="H572" s="22"/>
    </row>
    <row r="573">
      <c r="H573" s="22"/>
    </row>
    <row r="574">
      <c r="H574" s="22"/>
    </row>
    <row r="575">
      <c r="H575" s="22"/>
    </row>
    <row r="576">
      <c r="H576" s="22"/>
    </row>
    <row r="577">
      <c r="H577" s="22"/>
    </row>
    <row r="578">
      <c r="H578" s="22"/>
    </row>
    <row r="579">
      <c r="H579" s="22"/>
    </row>
    <row r="580">
      <c r="H580" s="22"/>
    </row>
    <row r="581">
      <c r="H581" s="22"/>
    </row>
    <row r="582">
      <c r="H582" s="22"/>
    </row>
    <row r="583">
      <c r="H583" s="22"/>
    </row>
    <row r="584">
      <c r="H584" s="22"/>
    </row>
    <row r="585">
      <c r="H585" s="22"/>
    </row>
    <row r="586">
      <c r="H586" s="22"/>
    </row>
    <row r="587">
      <c r="H587" s="22"/>
    </row>
    <row r="588">
      <c r="H588" s="22"/>
    </row>
    <row r="589">
      <c r="H589" s="22"/>
    </row>
    <row r="590">
      <c r="H590" s="22"/>
    </row>
    <row r="591">
      <c r="H591" s="22"/>
    </row>
    <row r="592">
      <c r="H592" s="22"/>
    </row>
    <row r="593">
      <c r="H593" s="22"/>
    </row>
    <row r="594">
      <c r="H594" s="22"/>
    </row>
    <row r="595">
      <c r="H595" s="22"/>
    </row>
    <row r="596">
      <c r="H596" s="22"/>
    </row>
    <row r="597">
      <c r="H597" s="22"/>
    </row>
    <row r="598">
      <c r="H598" s="22"/>
    </row>
    <row r="599">
      <c r="H599" s="22"/>
    </row>
    <row r="600">
      <c r="H600" s="22"/>
    </row>
    <row r="601">
      <c r="H601" s="22"/>
    </row>
    <row r="602">
      <c r="H602" s="22"/>
    </row>
    <row r="603">
      <c r="H603" s="22"/>
    </row>
    <row r="604">
      <c r="H604" s="22"/>
    </row>
    <row r="605">
      <c r="H605" s="22"/>
    </row>
    <row r="606">
      <c r="H606" s="22"/>
    </row>
    <row r="607">
      <c r="H607" s="22"/>
    </row>
    <row r="608">
      <c r="H608" s="22"/>
    </row>
    <row r="609">
      <c r="H609" s="22"/>
    </row>
    <row r="610">
      <c r="H610" s="22"/>
    </row>
    <row r="611">
      <c r="H611" s="22"/>
    </row>
    <row r="612">
      <c r="H612" s="22"/>
    </row>
    <row r="613">
      <c r="H613" s="22"/>
    </row>
    <row r="614">
      <c r="H614" s="22"/>
    </row>
    <row r="615">
      <c r="H615" s="22"/>
    </row>
    <row r="616">
      <c r="H616" s="22"/>
    </row>
    <row r="617">
      <c r="H617" s="22"/>
    </row>
    <row r="618">
      <c r="H618" s="22"/>
    </row>
    <row r="619">
      <c r="H619" s="22"/>
    </row>
    <row r="620">
      <c r="H620" s="22"/>
    </row>
    <row r="621">
      <c r="H621" s="22"/>
    </row>
    <row r="622">
      <c r="H622" s="22"/>
    </row>
    <row r="623">
      <c r="H623" s="22"/>
    </row>
    <row r="624">
      <c r="H624" s="22"/>
    </row>
    <row r="625">
      <c r="H625" s="22"/>
    </row>
    <row r="626">
      <c r="H626" s="22"/>
    </row>
    <row r="627">
      <c r="H627" s="22"/>
    </row>
    <row r="628">
      <c r="H628" s="22"/>
    </row>
    <row r="629">
      <c r="H629" s="22"/>
    </row>
    <row r="630">
      <c r="H630" s="22"/>
    </row>
    <row r="631">
      <c r="H631" s="22"/>
    </row>
    <row r="632">
      <c r="H632" s="22"/>
    </row>
    <row r="633">
      <c r="H633" s="22"/>
    </row>
    <row r="634">
      <c r="H634" s="22"/>
    </row>
    <row r="635">
      <c r="H635" s="22"/>
    </row>
    <row r="636">
      <c r="H636" s="22"/>
    </row>
    <row r="637">
      <c r="H637" s="22"/>
    </row>
    <row r="638">
      <c r="H638" s="22"/>
    </row>
    <row r="639">
      <c r="H639" s="22"/>
    </row>
    <row r="640">
      <c r="H640" s="22"/>
    </row>
    <row r="641">
      <c r="H641" s="22"/>
    </row>
    <row r="642">
      <c r="H642" s="22"/>
    </row>
    <row r="643">
      <c r="H643" s="22"/>
    </row>
    <row r="644">
      <c r="H644" s="22"/>
    </row>
    <row r="645">
      <c r="H645" s="22"/>
    </row>
    <row r="646">
      <c r="H646" s="22"/>
    </row>
    <row r="647">
      <c r="H647" s="22"/>
    </row>
    <row r="648">
      <c r="H648" s="22"/>
    </row>
    <row r="649">
      <c r="H649" s="22"/>
    </row>
    <row r="650">
      <c r="H650" s="22"/>
    </row>
    <row r="651">
      <c r="H651" s="22"/>
    </row>
    <row r="652">
      <c r="H652" s="22"/>
    </row>
    <row r="653">
      <c r="H653" s="22"/>
    </row>
    <row r="654">
      <c r="H654" s="22"/>
    </row>
    <row r="655">
      <c r="H655" s="22"/>
    </row>
    <row r="656">
      <c r="H656" s="22"/>
    </row>
    <row r="657">
      <c r="H657" s="22"/>
    </row>
    <row r="658">
      <c r="H658" s="22"/>
    </row>
    <row r="659">
      <c r="H659" s="22"/>
    </row>
    <row r="660">
      <c r="H660" s="22"/>
    </row>
    <row r="661">
      <c r="H661" s="22"/>
    </row>
    <row r="662">
      <c r="H662" s="22"/>
    </row>
    <row r="663">
      <c r="H663" s="22"/>
    </row>
    <row r="664">
      <c r="H664" s="22"/>
    </row>
    <row r="665">
      <c r="H665" s="22"/>
    </row>
    <row r="666">
      <c r="H666" s="22"/>
    </row>
    <row r="667">
      <c r="H667" s="22"/>
    </row>
    <row r="668">
      <c r="H668" s="22"/>
    </row>
    <row r="669">
      <c r="H669" s="22"/>
    </row>
    <row r="670">
      <c r="H670" s="22"/>
    </row>
    <row r="671">
      <c r="H671" s="22"/>
    </row>
    <row r="672">
      <c r="H672" s="22"/>
    </row>
    <row r="673">
      <c r="H673" s="22"/>
    </row>
    <row r="674">
      <c r="H674" s="22"/>
    </row>
    <row r="675">
      <c r="H675" s="22"/>
    </row>
    <row r="676">
      <c r="H676" s="22"/>
    </row>
    <row r="677">
      <c r="H677" s="22"/>
    </row>
    <row r="678">
      <c r="H678" s="22"/>
    </row>
    <row r="679">
      <c r="H679" s="22"/>
    </row>
    <row r="680">
      <c r="H680" s="22"/>
    </row>
    <row r="681">
      <c r="H681" s="22"/>
    </row>
    <row r="682">
      <c r="H682" s="22"/>
    </row>
    <row r="683">
      <c r="H683" s="22"/>
    </row>
    <row r="684">
      <c r="H684" s="22"/>
    </row>
    <row r="685">
      <c r="H685" s="22"/>
    </row>
    <row r="686">
      <c r="H686" s="22"/>
    </row>
    <row r="687">
      <c r="H687" s="22"/>
    </row>
    <row r="688">
      <c r="H688" s="22"/>
    </row>
    <row r="689">
      <c r="H689" s="22"/>
    </row>
    <row r="690">
      <c r="H690" s="22"/>
    </row>
    <row r="691">
      <c r="H691" s="22"/>
    </row>
    <row r="692">
      <c r="H692" s="22"/>
    </row>
    <row r="693">
      <c r="H693" s="22"/>
    </row>
    <row r="694">
      <c r="H694" s="22"/>
    </row>
    <row r="695">
      <c r="H695" s="22"/>
    </row>
    <row r="696">
      <c r="H696" s="22"/>
    </row>
    <row r="697">
      <c r="H697" s="22"/>
    </row>
    <row r="698">
      <c r="H698" s="22"/>
    </row>
    <row r="699">
      <c r="H699" s="22"/>
    </row>
    <row r="700">
      <c r="H700" s="22"/>
    </row>
    <row r="701">
      <c r="H701" s="22"/>
    </row>
    <row r="702">
      <c r="H702" s="22"/>
    </row>
    <row r="703">
      <c r="H703" s="22"/>
    </row>
    <row r="704">
      <c r="H704" s="22"/>
    </row>
    <row r="705">
      <c r="H705" s="22"/>
    </row>
    <row r="706">
      <c r="H706" s="22"/>
    </row>
    <row r="707">
      <c r="H707" s="22"/>
    </row>
    <row r="708">
      <c r="H708" s="22"/>
    </row>
    <row r="709">
      <c r="H709" s="22"/>
    </row>
    <row r="710">
      <c r="H710" s="22"/>
    </row>
    <row r="711">
      <c r="H711" s="22"/>
    </row>
    <row r="712">
      <c r="H712" s="22"/>
    </row>
    <row r="713">
      <c r="H713" s="22"/>
    </row>
    <row r="714">
      <c r="H714" s="22"/>
    </row>
    <row r="715">
      <c r="H715" s="22"/>
    </row>
    <row r="716">
      <c r="H716" s="22"/>
    </row>
    <row r="717">
      <c r="H717" s="22"/>
    </row>
    <row r="718">
      <c r="H718" s="22"/>
    </row>
    <row r="719">
      <c r="H719" s="22"/>
    </row>
    <row r="720">
      <c r="H720" s="22"/>
    </row>
    <row r="721">
      <c r="H721" s="22"/>
    </row>
    <row r="722">
      <c r="H722" s="22"/>
    </row>
    <row r="723">
      <c r="H723" s="22"/>
    </row>
    <row r="724">
      <c r="H724" s="22"/>
    </row>
    <row r="725">
      <c r="H725" s="22"/>
    </row>
    <row r="726">
      <c r="H726" s="22"/>
    </row>
    <row r="727">
      <c r="H727" s="22"/>
    </row>
    <row r="728">
      <c r="H728" s="22"/>
    </row>
    <row r="729">
      <c r="H729" s="22"/>
    </row>
    <row r="730">
      <c r="H730" s="22"/>
    </row>
    <row r="731">
      <c r="H731" s="22"/>
    </row>
    <row r="732">
      <c r="H732" s="22"/>
    </row>
    <row r="733">
      <c r="H733" s="22"/>
    </row>
    <row r="734">
      <c r="H734" s="22"/>
    </row>
    <row r="735">
      <c r="H735" s="22"/>
    </row>
    <row r="736">
      <c r="H736" s="22"/>
    </row>
    <row r="737">
      <c r="H737" s="22"/>
    </row>
    <row r="738">
      <c r="H738" s="22"/>
    </row>
    <row r="739">
      <c r="H739" s="22"/>
    </row>
    <row r="740">
      <c r="H740" s="22"/>
    </row>
    <row r="741">
      <c r="H741" s="22"/>
    </row>
    <row r="742">
      <c r="H742" s="22"/>
    </row>
    <row r="743">
      <c r="H743" s="22"/>
    </row>
    <row r="744">
      <c r="H744" s="22"/>
    </row>
    <row r="745">
      <c r="H745" s="22"/>
    </row>
    <row r="746">
      <c r="H746" s="22"/>
    </row>
    <row r="747">
      <c r="H747" s="22"/>
    </row>
    <row r="748">
      <c r="H748" s="22"/>
    </row>
    <row r="749">
      <c r="H749" s="22"/>
    </row>
    <row r="750">
      <c r="H750" s="22"/>
    </row>
    <row r="751">
      <c r="H751" s="22"/>
    </row>
    <row r="752">
      <c r="H752" s="22"/>
    </row>
    <row r="753">
      <c r="H753" s="22"/>
    </row>
    <row r="754">
      <c r="H754" s="22"/>
    </row>
    <row r="755">
      <c r="H755" s="22"/>
    </row>
    <row r="756">
      <c r="H756" s="22"/>
    </row>
    <row r="757">
      <c r="H757" s="22"/>
    </row>
    <row r="758">
      <c r="H758" s="22"/>
    </row>
    <row r="759">
      <c r="H759" s="22"/>
    </row>
    <row r="760">
      <c r="H760" s="22"/>
    </row>
    <row r="761">
      <c r="H761" s="22"/>
    </row>
    <row r="762">
      <c r="H762" s="22"/>
    </row>
    <row r="763">
      <c r="H763" s="22"/>
    </row>
    <row r="764">
      <c r="H764" s="22"/>
    </row>
    <row r="765">
      <c r="H765" s="22"/>
    </row>
    <row r="766">
      <c r="H766" s="22"/>
    </row>
    <row r="767">
      <c r="H767" s="22"/>
    </row>
    <row r="768">
      <c r="H768" s="22"/>
    </row>
    <row r="769">
      <c r="H769" s="22"/>
    </row>
    <row r="770">
      <c r="H770" s="22"/>
    </row>
    <row r="771">
      <c r="H771" s="22"/>
    </row>
    <row r="772">
      <c r="H772" s="22"/>
    </row>
    <row r="773">
      <c r="H773" s="22"/>
    </row>
    <row r="774">
      <c r="H774" s="22"/>
    </row>
    <row r="775">
      <c r="H775" s="22"/>
    </row>
    <row r="776">
      <c r="H776" s="22"/>
    </row>
    <row r="777">
      <c r="H777" s="22"/>
    </row>
    <row r="778">
      <c r="H778" s="22"/>
    </row>
    <row r="779">
      <c r="H779" s="22"/>
    </row>
    <row r="780">
      <c r="H780" s="22"/>
    </row>
    <row r="781">
      <c r="H781" s="22"/>
    </row>
    <row r="782">
      <c r="H782" s="22"/>
    </row>
    <row r="783">
      <c r="H783" s="22"/>
    </row>
    <row r="784">
      <c r="H784" s="22"/>
    </row>
    <row r="785">
      <c r="H785" s="22"/>
    </row>
    <row r="786">
      <c r="H786" s="22"/>
    </row>
    <row r="787">
      <c r="H787" s="22"/>
    </row>
    <row r="788">
      <c r="H788" s="22"/>
    </row>
    <row r="789">
      <c r="H789" s="22"/>
    </row>
    <row r="790">
      <c r="H790" s="22"/>
    </row>
    <row r="791">
      <c r="H791" s="22"/>
    </row>
    <row r="792">
      <c r="H792" s="22"/>
    </row>
    <row r="793">
      <c r="H793" s="22"/>
    </row>
    <row r="794">
      <c r="H794" s="22"/>
    </row>
    <row r="795">
      <c r="H795" s="22"/>
    </row>
    <row r="796">
      <c r="H796" s="22"/>
    </row>
    <row r="797">
      <c r="H797" s="22"/>
    </row>
    <row r="798">
      <c r="H798" s="22"/>
    </row>
    <row r="799">
      <c r="H799" s="22"/>
    </row>
    <row r="800">
      <c r="H800" s="22"/>
    </row>
    <row r="801">
      <c r="H801" s="22"/>
    </row>
    <row r="802">
      <c r="H802" s="22"/>
    </row>
    <row r="803">
      <c r="H803" s="22"/>
    </row>
    <row r="804">
      <c r="H804" s="22"/>
    </row>
    <row r="805">
      <c r="H805" s="22"/>
    </row>
    <row r="806">
      <c r="H806" s="22"/>
    </row>
    <row r="807">
      <c r="H807" s="22"/>
    </row>
    <row r="808">
      <c r="H808" s="22"/>
    </row>
    <row r="809">
      <c r="H809" s="22"/>
    </row>
    <row r="810">
      <c r="H810" s="22"/>
    </row>
    <row r="811">
      <c r="H811" s="22"/>
    </row>
    <row r="812">
      <c r="H812" s="22"/>
    </row>
    <row r="813">
      <c r="H813" s="22"/>
    </row>
    <row r="814">
      <c r="H814" s="22"/>
    </row>
    <row r="815">
      <c r="H815" s="22"/>
    </row>
    <row r="816">
      <c r="H816" s="22"/>
    </row>
    <row r="817">
      <c r="H817" s="22"/>
    </row>
    <row r="818">
      <c r="H818" s="22"/>
    </row>
    <row r="819">
      <c r="H819" s="22"/>
    </row>
    <row r="820">
      <c r="H820" s="22"/>
    </row>
    <row r="821">
      <c r="H821" s="22"/>
    </row>
    <row r="822">
      <c r="H822" s="22"/>
    </row>
    <row r="823">
      <c r="H823" s="22"/>
    </row>
    <row r="824">
      <c r="H824" s="22"/>
    </row>
    <row r="825">
      <c r="H825" s="22"/>
    </row>
    <row r="826">
      <c r="H826" s="22"/>
    </row>
    <row r="827">
      <c r="H827" s="22"/>
    </row>
    <row r="828">
      <c r="H828" s="22"/>
    </row>
    <row r="829">
      <c r="H829" s="22"/>
    </row>
    <row r="830">
      <c r="H830" s="22"/>
    </row>
    <row r="831">
      <c r="H831" s="22"/>
    </row>
    <row r="832">
      <c r="H832" s="22"/>
    </row>
    <row r="833">
      <c r="H833" s="22"/>
    </row>
    <row r="834">
      <c r="H834" s="22"/>
    </row>
    <row r="835">
      <c r="H835" s="22"/>
    </row>
    <row r="836">
      <c r="H836" s="22"/>
    </row>
    <row r="837">
      <c r="H837" s="22"/>
    </row>
    <row r="838">
      <c r="H838" s="22"/>
    </row>
    <row r="839">
      <c r="H839" s="22"/>
    </row>
    <row r="840">
      <c r="H840" s="22"/>
    </row>
    <row r="841">
      <c r="H841" s="22"/>
    </row>
    <row r="842">
      <c r="H842" s="22"/>
    </row>
    <row r="843">
      <c r="H843" s="22"/>
    </row>
    <row r="844">
      <c r="H844" s="22"/>
    </row>
    <row r="845">
      <c r="H845" s="22"/>
    </row>
    <row r="846">
      <c r="H846" s="22"/>
    </row>
    <row r="847">
      <c r="H847" s="22"/>
    </row>
    <row r="848">
      <c r="H848" s="22"/>
    </row>
    <row r="849">
      <c r="H849" s="22"/>
    </row>
    <row r="850">
      <c r="H850" s="22"/>
    </row>
    <row r="851">
      <c r="H851" s="22"/>
    </row>
    <row r="852">
      <c r="H852" s="22"/>
    </row>
    <row r="853">
      <c r="H853" s="22"/>
    </row>
    <row r="854">
      <c r="H854" s="22"/>
    </row>
    <row r="855">
      <c r="H855" s="22"/>
    </row>
    <row r="856">
      <c r="H856" s="22"/>
    </row>
    <row r="857">
      <c r="H857" s="22"/>
    </row>
    <row r="858">
      <c r="H858" s="22"/>
    </row>
    <row r="859">
      <c r="H859" s="22"/>
    </row>
    <row r="860">
      <c r="H860" s="22"/>
    </row>
    <row r="861">
      <c r="H861" s="22"/>
    </row>
    <row r="862">
      <c r="H862" s="22"/>
    </row>
    <row r="863">
      <c r="H863" s="22"/>
    </row>
    <row r="864">
      <c r="H864" s="22"/>
    </row>
    <row r="865">
      <c r="H865" s="22"/>
    </row>
    <row r="866">
      <c r="H866" s="22"/>
    </row>
    <row r="867">
      <c r="H867" s="22"/>
    </row>
    <row r="868">
      <c r="H868" s="22"/>
    </row>
    <row r="869">
      <c r="H869" s="22"/>
    </row>
    <row r="870">
      <c r="H870" s="22"/>
    </row>
    <row r="871">
      <c r="H871" s="22"/>
    </row>
    <row r="872">
      <c r="H872" s="22"/>
    </row>
    <row r="873">
      <c r="H873" s="22"/>
    </row>
    <row r="874">
      <c r="H874" s="22"/>
    </row>
    <row r="875">
      <c r="H875" s="22"/>
    </row>
    <row r="876">
      <c r="H876" s="22"/>
    </row>
    <row r="877">
      <c r="H877" s="22"/>
    </row>
    <row r="878">
      <c r="H878" s="22"/>
    </row>
    <row r="879">
      <c r="H879" s="22"/>
    </row>
    <row r="880">
      <c r="H880" s="22"/>
    </row>
    <row r="881">
      <c r="H881" s="22"/>
    </row>
    <row r="882">
      <c r="H882" s="22"/>
    </row>
    <row r="883">
      <c r="H883" s="22"/>
    </row>
    <row r="884">
      <c r="H884" s="22"/>
    </row>
    <row r="885">
      <c r="H885" s="22"/>
    </row>
    <row r="886">
      <c r="H886" s="22"/>
    </row>
    <row r="887">
      <c r="H887" s="22"/>
    </row>
    <row r="888">
      <c r="H888" s="22"/>
    </row>
    <row r="889">
      <c r="H889" s="22"/>
    </row>
    <row r="890">
      <c r="H890" s="22"/>
    </row>
    <row r="891">
      <c r="H891" s="22"/>
    </row>
    <row r="892">
      <c r="H892" s="22"/>
    </row>
    <row r="893">
      <c r="H893" s="22"/>
    </row>
    <row r="894">
      <c r="H894" s="22"/>
    </row>
    <row r="895">
      <c r="H895" s="22"/>
    </row>
    <row r="896">
      <c r="H896" s="22"/>
    </row>
    <row r="897">
      <c r="H897" s="22"/>
    </row>
    <row r="898">
      <c r="H898" s="22"/>
    </row>
    <row r="899">
      <c r="H899" s="22"/>
    </row>
    <row r="900">
      <c r="H900" s="22"/>
    </row>
    <row r="901">
      <c r="H901" s="22"/>
    </row>
    <row r="902">
      <c r="H902" s="22"/>
    </row>
    <row r="903">
      <c r="H903" s="22"/>
    </row>
    <row r="904">
      <c r="H904" s="22"/>
    </row>
    <row r="905">
      <c r="H905" s="22"/>
    </row>
    <row r="906">
      <c r="H906" s="22"/>
    </row>
    <row r="907">
      <c r="H907" s="22"/>
    </row>
    <row r="908">
      <c r="H908" s="22"/>
    </row>
    <row r="909">
      <c r="H909" s="22"/>
    </row>
    <row r="910">
      <c r="H910" s="22"/>
    </row>
    <row r="911">
      <c r="H911" s="22"/>
    </row>
    <row r="912">
      <c r="H912" s="22"/>
    </row>
    <row r="913">
      <c r="H913" s="22"/>
    </row>
    <row r="914">
      <c r="H914" s="22"/>
    </row>
    <row r="915">
      <c r="H915" s="22"/>
    </row>
    <row r="916">
      <c r="H916" s="22"/>
    </row>
    <row r="917">
      <c r="H917" s="22"/>
    </row>
    <row r="918">
      <c r="H918" s="22"/>
    </row>
    <row r="919">
      <c r="H919" s="22"/>
    </row>
    <row r="920">
      <c r="H920" s="22"/>
    </row>
    <row r="921">
      <c r="H921" s="22"/>
    </row>
    <row r="922">
      <c r="H922" s="22"/>
    </row>
    <row r="923">
      <c r="H923" s="22"/>
    </row>
    <row r="924">
      <c r="H924" s="22"/>
    </row>
    <row r="925">
      <c r="H925" s="22"/>
    </row>
    <row r="926">
      <c r="H926" s="22"/>
    </row>
    <row r="927">
      <c r="H927" s="22"/>
    </row>
    <row r="928">
      <c r="H928" s="22"/>
    </row>
    <row r="929">
      <c r="H929" s="22"/>
    </row>
    <row r="930">
      <c r="H930" s="22"/>
    </row>
    <row r="931">
      <c r="H931" s="22"/>
    </row>
    <row r="932">
      <c r="H932" s="22"/>
    </row>
    <row r="933">
      <c r="H933" s="22"/>
    </row>
    <row r="934">
      <c r="H934" s="22"/>
    </row>
    <row r="935">
      <c r="H935" s="22"/>
    </row>
    <row r="936">
      <c r="H936" s="22"/>
    </row>
    <row r="937">
      <c r="H937" s="22"/>
    </row>
    <row r="938">
      <c r="H938" s="22"/>
    </row>
    <row r="939">
      <c r="H939" s="22"/>
    </row>
    <row r="940">
      <c r="H940" s="22"/>
    </row>
    <row r="941">
      <c r="H941" s="22"/>
    </row>
    <row r="942">
      <c r="H942" s="22"/>
    </row>
    <row r="943">
      <c r="H943" s="22"/>
    </row>
    <row r="944">
      <c r="H944" s="22"/>
    </row>
    <row r="945">
      <c r="H945" s="22"/>
    </row>
    <row r="946">
      <c r="H946" s="22"/>
    </row>
    <row r="947">
      <c r="H947" s="22"/>
    </row>
    <row r="948">
      <c r="H948" s="22"/>
    </row>
    <row r="949">
      <c r="H949" s="22"/>
    </row>
    <row r="950">
      <c r="H950" s="22"/>
    </row>
    <row r="951">
      <c r="H951" s="22"/>
    </row>
    <row r="952">
      <c r="H952" s="22"/>
    </row>
    <row r="953">
      <c r="H953" s="22"/>
    </row>
    <row r="954">
      <c r="H954" s="22"/>
    </row>
    <row r="955">
      <c r="H955" s="22"/>
    </row>
    <row r="956">
      <c r="H956" s="22"/>
    </row>
    <row r="957">
      <c r="H957" s="22"/>
    </row>
    <row r="958">
      <c r="H958" s="22"/>
    </row>
    <row r="959">
      <c r="H959" s="22"/>
    </row>
    <row r="960">
      <c r="H960" s="22"/>
    </row>
    <row r="961">
      <c r="H961" s="22"/>
    </row>
    <row r="962">
      <c r="H962" s="22"/>
    </row>
    <row r="963">
      <c r="H963" s="22"/>
    </row>
    <row r="964">
      <c r="H964" s="22"/>
    </row>
    <row r="965">
      <c r="H965" s="22"/>
    </row>
    <row r="966">
      <c r="H966" s="22"/>
    </row>
    <row r="967">
      <c r="H967" s="22"/>
    </row>
    <row r="968">
      <c r="H968" s="22"/>
    </row>
    <row r="969">
      <c r="H969" s="22"/>
    </row>
    <row r="970">
      <c r="H970" s="22"/>
    </row>
    <row r="971">
      <c r="H971" s="22"/>
    </row>
    <row r="972">
      <c r="H972" s="22"/>
    </row>
    <row r="973">
      <c r="H973" s="22"/>
    </row>
    <row r="974">
      <c r="H974" s="22"/>
    </row>
    <row r="975">
      <c r="H975" s="22"/>
    </row>
    <row r="976">
      <c r="H976" s="22"/>
    </row>
    <row r="977">
      <c r="H977" s="22"/>
    </row>
    <row r="978">
      <c r="H978" s="22"/>
    </row>
    <row r="979">
      <c r="H979" s="22"/>
    </row>
    <row r="980">
      <c r="H980" s="22"/>
    </row>
    <row r="981">
      <c r="H981" s="22"/>
    </row>
    <row r="982">
      <c r="H982" s="22"/>
    </row>
    <row r="983">
      <c r="H983" s="22"/>
    </row>
    <row r="984">
      <c r="H984" s="22"/>
    </row>
    <row r="985">
      <c r="H985" s="22"/>
    </row>
    <row r="986">
      <c r="H986" s="22"/>
    </row>
    <row r="987">
      <c r="H987" s="22"/>
    </row>
    <row r="988">
      <c r="H988" s="22"/>
    </row>
    <row r="989">
      <c r="H989" s="22"/>
    </row>
    <row r="990">
      <c r="H990" s="22"/>
    </row>
    <row r="991">
      <c r="H991" s="22"/>
    </row>
    <row r="992">
      <c r="H992" s="22"/>
    </row>
    <row r="993">
      <c r="H993" s="22"/>
    </row>
    <row r="994">
      <c r="H994" s="22"/>
    </row>
    <row r="995">
      <c r="H995" s="22"/>
    </row>
    <row r="996">
      <c r="H996" s="22"/>
    </row>
    <row r="997">
      <c r="H997" s="22"/>
    </row>
    <row r="998">
      <c r="H998" s="22"/>
    </row>
    <row r="999">
      <c r="H999" s="22"/>
    </row>
    <row r="1000">
      <c r="H1000" s="22"/>
    </row>
  </sheetData>
  <mergeCells count="2">
    <mergeCell ref="A1:J1"/>
    <mergeCell ref="A2:J2"/>
  </mergeCells>
  <dataValidations>
    <dataValidation type="list" allowBlank="1" sqref="C4:C500">
      <formula1>"Bahan Baku,Barang Jadi (Supplier),Ongkos Jahit,Aksesoris,Peralatan"</formula1>
    </dataValidation>
    <dataValidation type="list" allowBlank="1" sqref="K4:K500 M4:M500">
      <formula1>COA!$A$4:$A$60</formula1>
    </dataValidation>
    <dataValidation type="list" allowBlank="1" sqref="G4:G500">
      <formula1>"pcs,meter,lusin,kodi,roll,pack,batch,kg,unit"</formula1>
    </dataValidation>
    <dataValidation type="list" allowBlank="1" sqref="J4:J500">
      <formula1>"Tunai,Hutang Dagang"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6.38"/>
    <col customWidth="1" min="3" max="3" width="15.13"/>
    <col customWidth="1" min="4" max="4" width="27.63"/>
    <col customWidth="1" min="5" max="5" width="31.38"/>
    <col customWidth="1" min="6" max="6" width="10.75"/>
    <col customWidth="1" min="7" max="7" width="28.63"/>
    <col customWidth="1" min="8" max="8" width="25.13"/>
  </cols>
  <sheetData>
    <row r="1" ht="30.0" customHeight="1">
      <c r="A1" s="1" t="s">
        <v>141</v>
      </c>
    </row>
    <row r="2" ht="30.0" customHeight="1">
      <c r="A2" s="3" t="s">
        <v>142</v>
      </c>
    </row>
    <row r="3" ht="24.0" customHeight="1">
      <c r="A3" s="4" t="s">
        <v>7</v>
      </c>
      <c r="B3" s="4" t="s">
        <v>146</v>
      </c>
      <c r="C3" s="4" t="s">
        <v>147</v>
      </c>
      <c r="D3" s="4" t="s">
        <v>148</v>
      </c>
      <c r="E3" s="4" t="s">
        <v>149</v>
      </c>
      <c r="F3" s="4" t="s">
        <v>150</v>
      </c>
      <c r="G3" s="4" t="s">
        <v>151</v>
      </c>
      <c r="H3" s="4" t="s">
        <v>27</v>
      </c>
    </row>
    <row r="4">
      <c r="A4" s="7">
        <v>46235.0</v>
      </c>
      <c r="B4" s="9" t="s">
        <v>152</v>
      </c>
      <c r="C4" s="9" t="s">
        <v>153</v>
      </c>
      <c r="D4" s="17" t="str">
        <f>IF(C4="","",IFERROR(VLOOKUP(C4,COA!A:B,2,FALSE),"-"))</f>
        <v>Beban Gaji Karyawan</v>
      </c>
      <c r="E4" s="9" t="s">
        <v>154</v>
      </c>
      <c r="F4" s="19">
        <v>5000000.0</v>
      </c>
      <c r="G4" s="9" t="s">
        <v>49</v>
      </c>
    </row>
    <row r="5">
      <c r="A5" s="7">
        <v>46235.0</v>
      </c>
      <c r="B5" s="9" t="s">
        <v>157</v>
      </c>
      <c r="C5" s="9" t="s">
        <v>158</v>
      </c>
      <c r="D5" s="17" t="str">
        <f>IF(C5="","",IFERROR(VLOOKUP(C5,COA!A:B,2,FALSE),"-"))</f>
        <v>Beban Sewa Tempat</v>
      </c>
      <c r="E5" s="9" t="s">
        <v>159</v>
      </c>
      <c r="F5" s="19">
        <v>2000000.0</v>
      </c>
      <c r="G5" s="9" t="s">
        <v>49</v>
      </c>
    </row>
    <row r="6">
      <c r="A6" s="7">
        <v>46236.0</v>
      </c>
      <c r="B6" s="9" t="s">
        <v>160</v>
      </c>
      <c r="C6" s="9" t="s">
        <v>161</v>
      </c>
      <c r="D6" s="17" t="str">
        <f>IF(C6="","",IFERROR(VLOOKUP(C6,COA!A:B,2,FALSE),"-"))</f>
        <v>Beban Listrik; Air &amp; Internet</v>
      </c>
      <c r="E6" s="9" t="s">
        <v>162</v>
      </c>
      <c r="F6" s="19">
        <v>500000.0</v>
      </c>
      <c r="G6" s="9" t="s">
        <v>49</v>
      </c>
    </row>
    <row r="7">
      <c r="A7" s="7">
        <v>46237.0</v>
      </c>
      <c r="B7" s="9" t="s">
        <v>163</v>
      </c>
      <c r="C7" s="9" t="s">
        <v>164</v>
      </c>
      <c r="D7" s="17" t="str">
        <f>IF(C7="","",IFERROR(VLOOKUP(C7,COA!A:B,2,FALSE),"-"))</f>
        <v>Beban Pemasaran &amp; Iklan Digital</v>
      </c>
      <c r="E7" s="9" t="s">
        <v>167</v>
      </c>
      <c r="F7" s="19">
        <v>1000000.0</v>
      </c>
      <c r="G7" s="9" t="s">
        <v>49</v>
      </c>
    </row>
    <row r="8">
      <c r="A8" s="7">
        <v>46238.0</v>
      </c>
      <c r="B8" s="9" t="s">
        <v>168</v>
      </c>
      <c r="C8" s="9" t="s">
        <v>169</v>
      </c>
      <c r="D8" s="17" t="str">
        <f>IF(C8="","",IFERROR(VLOOKUP(C8,COA!A:B,2,FALSE),"-"))</f>
        <v>Beban Ongkos Kirim / Kurir</v>
      </c>
      <c r="E8" s="9" t="s">
        <v>170</v>
      </c>
      <c r="F8" s="19">
        <v>100000.0</v>
      </c>
      <c r="G8" s="9" t="s">
        <v>49</v>
      </c>
    </row>
    <row r="9">
      <c r="A9" s="7">
        <v>46239.0</v>
      </c>
      <c r="B9" s="9" t="s">
        <v>171</v>
      </c>
      <c r="C9" s="9" t="s">
        <v>172</v>
      </c>
      <c r="D9" s="17" t="str">
        <f>IF(C9="","",IFERROR(VLOOKUP(C9,COA!A:B,2,FALSE),"-"))</f>
        <v>Beban Administrasi &amp; Bank</v>
      </c>
      <c r="E9" s="9" t="s">
        <v>173</v>
      </c>
      <c r="F9" s="19">
        <v>50000.0</v>
      </c>
      <c r="G9" s="9" t="s">
        <v>49</v>
      </c>
    </row>
    <row r="10">
      <c r="A10" s="7">
        <v>46240.0</v>
      </c>
      <c r="B10" s="9" t="s">
        <v>174</v>
      </c>
      <c r="C10" s="9" t="s">
        <v>175</v>
      </c>
      <c r="D10" s="17" t="str">
        <f>IF(C10="","",IFERROR(VLOOKUP(C10,COA!A:B,2,FALSE),"-"))</f>
        <v>Beban IT, Server &amp; Operational Web</v>
      </c>
      <c r="E10" s="9" t="s">
        <v>176</v>
      </c>
      <c r="F10" s="19">
        <v>500000.0</v>
      </c>
      <c r="G10" s="9" t="s">
        <v>49</v>
      </c>
    </row>
    <row r="11">
      <c r="A11" s="7">
        <v>46241.0</v>
      </c>
      <c r="B11" s="9" t="s">
        <v>177</v>
      </c>
      <c r="C11" s="9" t="s">
        <v>178</v>
      </c>
      <c r="D11" s="17" t="str">
        <f>IF(C11="","",IFERROR(VLOOKUP(C11,COA!A:B,2,FALSE),"-"))</f>
        <v>Prive Pemilik</v>
      </c>
      <c r="E11" s="9" t="s">
        <v>179</v>
      </c>
      <c r="F11" s="19">
        <v>2000000.0</v>
      </c>
      <c r="G11" s="9" t="s">
        <v>49</v>
      </c>
    </row>
    <row r="12">
      <c r="A12" s="7"/>
      <c r="C12" s="17"/>
      <c r="D12" s="17" t="str">
        <f>IF(C12="","",IFERROR(VLOOKUP(C12,COA!A:B,2,FALSE),"-"))</f>
        <v/>
      </c>
      <c r="F12" s="19"/>
      <c r="G12" s="17"/>
    </row>
    <row r="13">
      <c r="A13" s="7"/>
      <c r="C13" s="17"/>
      <c r="D13" s="17" t="str">
        <f>IF(C13="","",IFERROR(VLOOKUP(C13,COA!A:B,2,FALSE),"-"))</f>
        <v/>
      </c>
      <c r="F13" s="19"/>
      <c r="G13" s="17"/>
    </row>
    <row r="14">
      <c r="A14" s="7"/>
      <c r="C14" s="17"/>
      <c r="D14" s="17" t="str">
        <f>IF(C14="","",IFERROR(VLOOKUP(C14,COA!A:B,2,FALSE),"-"))</f>
        <v/>
      </c>
      <c r="F14" s="19"/>
      <c r="G14" s="17"/>
    </row>
    <row r="15">
      <c r="A15" s="7"/>
      <c r="C15" s="17"/>
      <c r="D15" s="17" t="str">
        <f>IF(C15="","",IFERROR(VLOOKUP(C15,COA!A:B,2,FALSE),"-"))</f>
        <v/>
      </c>
      <c r="F15" s="19"/>
      <c r="G15" s="17"/>
    </row>
    <row r="16">
      <c r="A16" s="7"/>
      <c r="C16" s="17"/>
      <c r="D16" s="17" t="str">
        <f>IF(C16="","",IFERROR(VLOOKUP(C16,COA!A:B,2,FALSE),"-"))</f>
        <v/>
      </c>
      <c r="F16" s="19"/>
      <c r="G16" s="17"/>
    </row>
    <row r="17">
      <c r="A17" s="7"/>
      <c r="C17" s="17"/>
      <c r="D17" s="17" t="str">
        <f>IF(C17="","",IFERROR(VLOOKUP(C17,COA!A:B,2,FALSE),"-"))</f>
        <v/>
      </c>
      <c r="F17" s="19"/>
      <c r="G17" s="17"/>
    </row>
    <row r="18">
      <c r="A18" s="7"/>
      <c r="C18" s="17"/>
      <c r="D18" s="17" t="str">
        <f>IF(C18="","",IFERROR(VLOOKUP(C18,COA!A:B,2,FALSE),"-"))</f>
        <v/>
      </c>
      <c r="F18" s="19"/>
      <c r="G18" s="17"/>
    </row>
    <row r="19">
      <c r="A19" s="7"/>
      <c r="C19" s="17"/>
      <c r="D19" s="17" t="str">
        <f>IF(C19="","",IFERROR(VLOOKUP(C19,COA!A:B,2,FALSE),"-"))</f>
        <v/>
      </c>
      <c r="F19" s="19"/>
      <c r="G19" s="17"/>
    </row>
    <row r="20">
      <c r="A20" s="7"/>
      <c r="C20" s="17"/>
      <c r="D20" s="17" t="str">
        <f>IF(C20="","",IFERROR(VLOOKUP(C20,COA!A:B,2,FALSE),"-"))</f>
        <v/>
      </c>
      <c r="F20" s="19"/>
      <c r="G20" s="17"/>
    </row>
    <row r="21">
      <c r="A21" s="7"/>
      <c r="C21" s="17"/>
      <c r="D21" s="17" t="str">
        <f>IF(C21="","",IFERROR(VLOOKUP(C21,COA!A:B,2,FALSE),"-"))</f>
        <v/>
      </c>
      <c r="F21" s="19"/>
      <c r="G21" s="17"/>
    </row>
    <row r="22">
      <c r="A22" s="7"/>
      <c r="C22" s="17"/>
      <c r="D22" s="17" t="str">
        <f>IF(C22="","",IFERROR(VLOOKUP(C22,COA!A:B,2,FALSE),"-"))</f>
        <v/>
      </c>
      <c r="F22" s="19"/>
      <c r="G22" s="17"/>
    </row>
    <row r="23">
      <c r="A23" s="7"/>
      <c r="C23" s="17"/>
      <c r="D23" s="17" t="str">
        <f>IF(C23="","",IFERROR(VLOOKUP(C23,COA!A:B,2,FALSE),"-"))</f>
        <v/>
      </c>
      <c r="F23" s="19"/>
      <c r="G23" s="17"/>
    </row>
    <row r="24">
      <c r="A24" s="7"/>
      <c r="C24" s="17"/>
      <c r="D24" s="17" t="str">
        <f>IF(C24="","",IFERROR(VLOOKUP(C24,COA!A:B,2,FALSE),"-"))</f>
        <v/>
      </c>
      <c r="F24" s="19"/>
      <c r="G24" s="17"/>
    </row>
    <row r="25">
      <c r="A25" s="7"/>
      <c r="C25" s="17"/>
      <c r="D25" s="17" t="str">
        <f>IF(C25="","",IFERROR(VLOOKUP(C25,COA!A:B,2,FALSE),"-"))</f>
        <v/>
      </c>
      <c r="F25" s="19"/>
      <c r="G25" s="17"/>
    </row>
    <row r="26">
      <c r="A26" s="7"/>
      <c r="C26" s="17"/>
      <c r="D26" s="17" t="str">
        <f>IF(C26="","",IFERROR(VLOOKUP(C26,COA!A:B,2,FALSE),"-"))</f>
        <v/>
      </c>
      <c r="F26" s="19"/>
      <c r="G26" s="17"/>
    </row>
    <row r="27">
      <c r="A27" s="7"/>
      <c r="C27" s="17"/>
      <c r="D27" s="17" t="str">
        <f>IF(C27="","",IFERROR(VLOOKUP(C27,COA!A:B,2,FALSE),"-"))</f>
        <v/>
      </c>
      <c r="F27" s="19"/>
      <c r="G27" s="17"/>
    </row>
    <row r="28">
      <c r="A28" s="7"/>
      <c r="C28" s="17"/>
      <c r="D28" s="17" t="str">
        <f>IF(C28="","",IFERROR(VLOOKUP(C28,COA!A:B,2,FALSE),"-"))</f>
        <v/>
      </c>
      <c r="F28" s="19"/>
      <c r="G28" s="17"/>
    </row>
    <row r="29">
      <c r="A29" s="7"/>
      <c r="C29" s="17"/>
      <c r="D29" s="17" t="str">
        <f>IF(C29="","",IFERROR(VLOOKUP(C29,COA!A:B,2,FALSE),"-"))</f>
        <v/>
      </c>
      <c r="F29" s="19"/>
      <c r="G29" s="17"/>
    </row>
    <row r="30">
      <c r="A30" s="7"/>
      <c r="C30" s="17"/>
      <c r="D30" s="17" t="str">
        <f>IF(C30="","",IFERROR(VLOOKUP(C30,COA!A:B,2,FALSE),"-"))</f>
        <v/>
      </c>
      <c r="F30" s="19"/>
      <c r="G30" s="17"/>
    </row>
    <row r="31">
      <c r="A31" s="7"/>
      <c r="C31" s="17"/>
      <c r="D31" s="17" t="str">
        <f>IF(C31="","",IFERROR(VLOOKUP(C31,COA!A:B,2,FALSE),"-"))</f>
        <v/>
      </c>
      <c r="F31" s="19"/>
      <c r="G31" s="17"/>
    </row>
    <row r="32">
      <c r="A32" s="7"/>
      <c r="C32" s="17"/>
      <c r="D32" s="17" t="str">
        <f>IF(C32="","",IFERROR(VLOOKUP(C32,COA!A:B,2,FALSE),"-"))</f>
        <v/>
      </c>
      <c r="F32" s="19"/>
      <c r="G32" s="17"/>
    </row>
    <row r="33">
      <c r="A33" s="7"/>
      <c r="C33" s="17"/>
      <c r="D33" s="17" t="str">
        <f>IF(C33="","",IFERROR(VLOOKUP(C33,COA!A:B,2,FALSE),"-"))</f>
        <v/>
      </c>
      <c r="F33" s="19"/>
      <c r="G33" s="17"/>
    </row>
    <row r="34">
      <c r="A34" s="7"/>
      <c r="C34" s="17"/>
      <c r="D34" s="17" t="str">
        <f>IF(C34="","",IFERROR(VLOOKUP(C34,COA!A:B,2,FALSE),"-"))</f>
        <v/>
      </c>
      <c r="F34" s="19"/>
      <c r="G34" s="17"/>
    </row>
    <row r="35">
      <c r="A35" s="7"/>
      <c r="C35" s="17"/>
      <c r="D35" s="17" t="str">
        <f>IF(C35="","",IFERROR(VLOOKUP(C35,COA!A:B,2,FALSE),"-"))</f>
        <v/>
      </c>
      <c r="F35" s="19"/>
      <c r="G35" s="17"/>
    </row>
    <row r="36">
      <c r="A36" s="7"/>
      <c r="C36" s="17"/>
      <c r="D36" s="17" t="str">
        <f>IF(C36="","",IFERROR(VLOOKUP(C36,COA!A:B,2,FALSE),"-"))</f>
        <v/>
      </c>
      <c r="F36" s="19"/>
      <c r="G36" s="17"/>
    </row>
    <row r="37">
      <c r="A37" s="43"/>
      <c r="C37" s="17"/>
      <c r="D37" s="17" t="str">
        <f>IF(C37="","",IFERROR(VLOOKUP(C37,COA!A:B,2,FALSE),"-"))</f>
        <v/>
      </c>
      <c r="F37" s="20"/>
      <c r="G37" s="17"/>
    </row>
    <row r="38">
      <c r="A38" s="43"/>
      <c r="C38" s="17"/>
      <c r="D38" s="17" t="str">
        <f>IF(C38="","",IFERROR(VLOOKUP(C38,COA!A:B,2,FALSE),"-"))</f>
        <v/>
      </c>
      <c r="F38" s="20"/>
      <c r="G38" s="17"/>
    </row>
    <row r="39">
      <c r="A39" s="43"/>
      <c r="C39" s="17"/>
      <c r="D39" s="17" t="str">
        <f>IF(C39="","",IFERROR(VLOOKUP(C39,COA!A:B,2,FALSE),"-"))</f>
        <v/>
      </c>
      <c r="F39" s="20"/>
      <c r="G39" s="17"/>
    </row>
    <row r="40">
      <c r="A40" s="43"/>
      <c r="C40" s="17"/>
      <c r="D40" s="17" t="str">
        <f>IF(C40="","",IFERROR(VLOOKUP(C40,COA!A:B,2,FALSE),"-"))</f>
        <v/>
      </c>
      <c r="F40" s="20"/>
      <c r="G40" s="17"/>
    </row>
    <row r="41">
      <c r="A41" s="43"/>
      <c r="C41" s="17"/>
      <c r="D41" s="17" t="str">
        <f>IF(C41="","",IFERROR(VLOOKUP(C41,COA!A:B,2,FALSE),"-"))</f>
        <v/>
      </c>
      <c r="F41" s="20"/>
      <c r="G41" s="17"/>
    </row>
    <row r="42">
      <c r="A42" s="43"/>
      <c r="C42" s="17"/>
      <c r="D42" s="17" t="str">
        <f>IF(C42="","",IFERROR(VLOOKUP(C42,COA!A:B,2,FALSE),"-"))</f>
        <v/>
      </c>
      <c r="F42" s="20"/>
      <c r="G42" s="17"/>
    </row>
    <row r="43">
      <c r="A43" s="43"/>
      <c r="C43" s="17"/>
      <c r="D43" s="17" t="str">
        <f>IF(C43="","",IFERROR(VLOOKUP(C43,COA!A:B,2,FALSE),"-"))</f>
        <v/>
      </c>
      <c r="F43" s="20"/>
      <c r="G43" s="17"/>
    </row>
    <row r="44">
      <c r="A44" s="43"/>
      <c r="C44" s="17"/>
      <c r="D44" s="17" t="str">
        <f>IF(C44="","",IFERROR(VLOOKUP(C44,COA!A:B,2,FALSE),"-"))</f>
        <v/>
      </c>
      <c r="F44" s="20"/>
      <c r="G44" s="17"/>
    </row>
    <row r="45">
      <c r="A45" s="43"/>
      <c r="C45" s="17"/>
      <c r="D45" s="17" t="str">
        <f>IF(C45="","",IFERROR(VLOOKUP(C45,COA!A:B,2,FALSE),"-"))</f>
        <v/>
      </c>
      <c r="F45" s="20"/>
      <c r="G45" s="17"/>
    </row>
    <row r="46">
      <c r="A46" s="43"/>
      <c r="C46" s="17"/>
      <c r="D46" s="17" t="str">
        <f>IF(C46="","",IFERROR(VLOOKUP(C46,COA!A:B,2,FALSE),"-"))</f>
        <v/>
      </c>
      <c r="F46" s="20"/>
      <c r="G46" s="17"/>
    </row>
    <row r="47">
      <c r="A47" s="43"/>
      <c r="C47" s="17"/>
      <c r="D47" s="17" t="str">
        <f>IF(C47="","",IFERROR(VLOOKUP(C47,COA!A:B,2,FALSE),"-"))</f>
        <v/>
      </c>
      <c r="F47" s="20"/>
      <c r="G47" s="17"/>
    </row>
    <row r="48">
      <c r="A48" s="43"/>
      <c r="C48" s="17"/>
      <c r="D48" s="17" t="str">
        <f>IF(C48="","",IFERROR(VLOOKUP(C48,COA!A:B,2,FALSE),"-"))</f>
        <v/>
      </c>
      <c r="F48" s="20"/>
      <c r="G48" s="17"/>
    </row>
    <row r="49">
      <c r="A49" s="43"/>
      <c r="C49" s="17"/>
      <c r="D49" s="17" t="str">
        <f>IF(C49="","",IFERROR(VLOOKUP(C49,COA!A:B,2,FALSE),"-"))</f>
        <v/>
      </c>
      <c r="F49" s="20"/>
      <c r="G49" s="17"/>
    </row>
    <row r="50">
      <c r="A50" s="43"/>
      <c r="C50" s="17"/>
      <c r="D50" s="17" t="str">
        <f>IF(C50="","",IFERROR(VLOOKUP(C50,COA!A:B,2,FALSE),"-"))</f>
        <v/>
      </c>
      <c r="F50" s="20"/>
      <c r="G50" s="17"/>
    </row>
    <row r="51">
      <c r="A51" s="43"/>
      <c r="C51" s="17"/>
      <c r="D51" s="17" t="str">
        <f>IF(C51="","",IFERROR(VLOOKUP(C51,COA!A:B,2,FALSE),"-"))</f>
        <v/>
      </c>
      <c r="F51" s="20"/>
      <c r="G51" s="17"/>
    </row>
    <row r="52">
      <c r="A52" s="43"/>
      <c r="C52" s="17"/>
      <c r="D52" s="17" t="str">
        <f>IF(C52="","",IFERROR(VLOOKUP(C52,COA!A:B,2,FALSE),"-"))</f>
        <v/>
      </c>
      <c r="F52" s="20"/>
      <c r="G52" s="17"/>
    </row>
    <row r="53">
      <c r="A53" s="43"/>
      <c r="C53" s="17"/>
      <c r="D53" s="17" t="str">
        <f>IF(C53="","",IFERROR(VLOOKUP(C53,COA!A:B,2,FALSE),"-"))</f>
        <v/>
      </c>
      <c r="F53" s="20"/>
      <c r="G53" s="17"/>
    </row>
    <row r="54">
      <c r="A54" s="43"/>
      <c r="C54" s="17"/>
      <c r="D54" s="17" t="str">
        <f>IF(C54="","",IFERROR(VLOOKUP(C54,COA!A:B,2,FALSE),"-"))</f>
        <v/>
      </c>
      <c r="F54" s="20"/>
      <c r="G54" s="17"/>
    </row>
    <row r="55">
      <c r="A55" s="43"/>
      <c r="C55" s="17"/>
      <c r="D55" s="17" t="str">
        <f>IF(C55="","",IFERROR(VLOOKUP(C55,COA!A:B,2,FALSE),"-"))</f>
        <v/>
      </c>
      <c r="F55" s="20"/>
      <c r="G55" s="17"/>
    </row>
    <row r="56">
      <c r="A56" s="43"/>
      <c r="C56" s="17"/>
      <c r="D56" s="17" t="str">
        <f>IF(C56="","",IFERROR(VLOOKUP(C56,COA!A:B,2,FALSE),"-"))</f>
        <v/>
      </c>
      <c r="F56" s="20"/>
      <c r="G56" s="17"/>
    </row>
    <row r="57">
      <c r="A57" s="43"/>
      <c r="C57" s="17"/>
      <c r="D57" s="17" t="str">
        <f>IF(C57="","",IFERROR(VLOOKUP(C57,COA!A:B,2,FALSE),"-"))</f>
        <v/>
      </c>
      <c r="F57" s="20"/>
      <c r="G57" s="17"/>
    </row>
    <row r="58">
      <c r="A58" s="43"/>
      <c r="C58" s="17"/>
      <c r="D58" s="17" t="str">
        <f>IF(C58="","",IFERROR(VLOOKUP(C58,COA!A:B,2,FALSE),"-"))</f>
        <v/>
      </c>
      <c r="F58" s="20"/>
      <c r="G58" s="17"/>
    </row>
    <row r="59">
      <c r="A59" s="43"/>
      <c r="C59" s="17"/>
      <c r="D59" s="17" t="str">
        <f>IF(C59="","",IFERROR(VLOOKUP(C59,COA!A:B,2,FALSE),"-"))</f>
        <v/>
      </c>
      <c r="F59" s="20"/>
      <c r="G59" s="17"/>
    </row>
    <row r="60">
      <c r="A60" s="43"/>
      <c r="C60" s="17"/>
      <c r="D60" s="17" t="str">
        <f>IF(C60="","",IFERROR(VLOOKUP(C60,COA!A:B,2,FALSE),"-"))</f>
        <v/>
      </c>
      <c r="F60" s="20"/>
      <c r="G60" s="17"/>
    </row>
    <row r="61">
      <c r="A61" s="43"/>
      <c r="C61" s="17"/>
      <c r="D61" s="17" t="str">
        <f>IF(C61="","",IFERROR(VLOOKUP(C61,COA!A:B,2,FALSE),"-"))</f>
        <v/>
      </c>
      <c r="F61" s="20"/>
      <c r="G61" s="17"/>
    </row>
    <row r="62">
      <c r="A62" s="43"/>
      <c r="C62" s="17"/>
      <c r="D62" s="17" t="str">
        <f>IF(C62="","",IFERROR(VLOOKUP(C62,COA!A:B,2,FALSE),"-"))</f>
        <v/>
      </c>
      <c r="F62" s="20"/>
      <c r="G62" s="17"/>
    </row>
    <row r="63">
      <c r="A63" s="43"/>
      <c r="C63" s="17"/>
      <c r="D63" s="17" t="str">
        <f>IF(C63="","",IFERROR(VLOOKUP(C63,COA!A:B,2,FALSE),"-"))</f>
        <v/>
      </c>
      <c r="F63" s="20"/>
      <c r="G63" s="17"/>
    </row>
    <row r="64">
      <c r="A64" s="43"/>
      <c r="C64" s="17"/>
      <c r="D64" s="17" t="str">
        <f>IF(C64="","",IFERROR(VLOOKUP(C64,COA!A:B,2,FALSE),"-"))</f>
        <v/>
      </c>
      <c r="F64" s="20"/>
      <c r="G64" s="17"/>
    </row>
    <row r="65">
      <c r="A65" s="43"/>
      <c r="C65" s="17"/>
      <c r="D65" s="17" t="str">
        <f>IF(C65="","",IFERROR(VLOOKUP(C65,COA!A:B,2,FALSE),"-"))</f>
        <v/>
      </c>
      <c r="F65" s="20"/>
      <c r="G65" s="17"/>
    </row>
    <row r="66">
      <c r="A66" s="43"/>
      <c r="C66" s="17"/>
      <c r="D66" s="17" t="str">
        <f>IF(C66="","",IFERROR(VLOOKUP(C66,COA!A:B,2,FALSE),"-"))</f>
        <v/>
      </c>
      <c r="F66" s="20"/>
      <c r="G66" s="17"/>
    </row>
    <row r="67">
      <c r="A67" s="43"/>
      <c r="C67" s="17"/>
      <c r="D67" s="17" t="str">
        <f>IF(C67="","",IFERROR(VLOOKUP(C67,COA!A:B,2,FALSE),"-"))</f>
        <v/>
      </c>
      <c r="F67" s="20"/>
      <c r="G67" s="17"/>
    </row>
    <row r="68">
      <c r="A68" s="43"/>
      <c r="C68" s="17"/>
      <c r="D68" s="17" t="str">
        <f>IF(C68="","",IFERROR(VLOOKUP(C68,COA!A:B,2,FALSE),"-"))</f>
        <v/>
      </c>
      <c r="F68" s="20"/>
      <c r="G68" s="17"/>
    </row>
    <row r="69">
      <c r="A69" s="43"/>
      <c r="C69" s="17"/>
      <c r="D69" s="17" t="str">
        <f>IF(C69="","",IFERROR(VLOOKUP(C69,COA!A:B,2,FALSE),"-"))</f>
        <v/>
      </c>
      <c r="F69" s="20"/>
      <c r="G69" s="17"/>
    </row>
    <row r="70">
      <c r="A70" s="43"/>
      <c r="C70" s="17"/>
      <c r="D70" s="17" t="str">
        <f>IF(C70="","",IFERROR(VLOOKUP(C70,COA!A:B,2,FALSE),"-"))</f>
        <v/>
      </c>
      <c r="F70" s="20"/>
      <c r="G70" s="17"/>
    </row>
    <row r="71">
      <c r="A71" s="43"/>
      <c r="C71" s="17"/>
      <c r="D71" s="17" t="str">
        <f>IF(C71="","",IFERROR(VLOOKUP(C71,COA!A:B,2,FALSE),"-"))</f>
        <v/>
      </c>
      <c r="F71" s="20"/>
      <c r="G71" s="17"/>
    </row>
    <row r="72">
      <c r="A72" s="43"/>
      <c r="C72" s="17"/>
      <c r="D72" s="17" t="str">
        <f>IF(C72="","",IFERROR(VLOOKUP(C72,COA!A:B,2,FALSE),"-"))</f>
        <v/>
      </c>
      <c r="F72" s="20"/>
      <c r="G72" s="17"/>
    </row>
    <row r="73">
      <c r="A73" s="43"/>
      <c r="C73" s="17"/>
      <c r="D73" s="17" t="str">
        <f>IF(C73="","",IFERROR(VLOOKUP(C73,COA!A:B,2,FALSE),"-"))</f>
        <v/>
      </c>
      <c r="F73" s="20"/>
      <c r="G73" s="17"/>
    </row>
    <row r="74">
      <c r="A74" s="43"/>
      <c r="C74" s="17"/>
      <c r="D74" s="17" t="str">
        <f>IF(C74="","",IFERROR(VLOOKUP(C74,COA!A:B,2,FALSE),"-"))</f>
        <v/>
      </c>
      <c r="F74" s="20"/>
      <c r="G74" s="17"/>
    </row>
    <row r="75">
      <c r="A75" s="43"/>
      <c r="C75" s="17"/>
      <c r="D75" s="17" t="str">
        <f>IF(C75="","",IFERROR(VLOOKUP(C75,COA!A:B,2,FALSE),"-"))</f>
        <v/>
      </c>
      <c r="F75" s="20"/>
      <c r="G75" s="17"/>
    </row>
    <row r="76">
      <c r="A76" s="43"/>
      <c r="C76" s="17"/>
      <c r="D76" s="17" t="str">
        <f>IF(C76="","",IFERROR(VLOOKUP(C76,COA!A:B,2,FALSE),"-"))</f>
        <v/>
      </c>
      <c r="F76" s="20"/>
      <c r="G76" s="17"/>
    </row>
    <row r="77">
      <c r="A77" s="43"/>
      <c r="C77" s="17"/>
      <c r="D77" s="17" t="str">
        <f>IF(C77="","",IFERROR(VLOOKUP(C77,COA!A:B,2,FALSE),"-"))</f>
        <v/>
      </c>
      <c r="F77" s="20"/>
      <c r="G77" s="17"/>
    </row>
    <row r="78">
      <c r="A78" s="43"/>
      <c r="C78" s="17"/>
      <c r="D78" s="17" t="str">
        <f>IF(C78="","",IFERROR(VLOOKUP(C78,COA!A:B,2,FALSE),"-"))</f>
        <v/>
      </c>
      <c r="F78" s="20"/>
      <c r="G78" s="17"/>
    </row>
    <row r="79">
      <c r="A79" s="43"/>
      <c r="C79" s="17"/>
      <c r="D79" s="17" t="str">
        <f>IF(C79="","",IFERROR(VLOOKUP(C79,COA!A:B,2,FALSE),"-"))</f>
        <v/>
      </c>
      <c r="F79" s="20"/>
      <c r="G79" s="17"/>
    </row>
    <row r="80">
      <c r="A80" s="43"/>
      <c r="C80" s="17"/>
      <c r="D80" s="17" t="str">
        <f>IF(C80="","",IFERROR(VLOOKUP(C80,COA!A:B,2,FALSE),"-"))</f>
        <v/>
      </c>
      <c r="F80" s="20"/>
      <c r="G80" s="17"/>
    </row>
    <row r="81">
      <c r="A81" s="43"/>
      <c r="C81" s="17"/>
      <c r="D81" s="17" t="str">
        <f>IF(C81="","",IFERROR(VLOOKUP(C81,COA!A:B,2,FALSE),"-"))</f>
        <v/>
      </c>
      <c r="F81" s="20"/>
      <c r="G81" s="17"/>
    </row>
    <row r="82">
      <c r="A82" s="43"/>
      <c r="C82" s="17"/>
      <c r="D82" s="17" t="str">
        <f>IF(C82="","",IFERROR(VLOOKUP(C82,COA!A:B,2,FALSE),"-"))</f>
        <v/>
      </c>
      <c r="F82" s="20"/>
      <c r="G82" s="17"/>
    </row>
    <row r="83">
      <c r="A83" s="43"/>
      <c r="C83" s="17"/>
      <c r="D83" s="17" t="str">
        <f>IF(C83="","",IFERROR(VLOOKUP(C83,COA!A:B,2,FALSE),"-"))</f>
        <v/>
      </c>
      <c r="F83" s="20"/>
      <c r="G83" s="17"/>
    </row>
    <row r="84">
      <c r="A84" s="43"/>
      <c r="C84" s="17"/>
      <c r="D84" s="17" t="str">
        <f>IF(C84="","",IFERROR(VLOOKUP(C84,COA!A:B,2,FALSE),"-"))</f>
        <v/>
      </c>
      <c r="F84" s="20"/>
      <c r="G84" s="17"/>
    </row>
    <row r="85">
      <c r="A85" s="43"/>
      <c r="C85" s="17"/>
      <c r="D85" s="17" t="str">
        <f>IF(C85="","",IFERROR(VLOOKUP(C85,COA!A:B,2,FALSE),"-"))</f>
        <v/>
      </c>
      <c r="F85" s="20"/>
      <c r="G85" s="17"/>
    </row>
    <row r="86">
      <c r="A86" s="43"/>
      <c r="C86" s="17"/>
      <c r="D86" s="17" t="str">
        <f>IF(C86="","",IFERROR(VLOOKUP(C86,COA!A:B,2,FALSE),"-"))</f>
        <v/>
      </c>
      <c r="F86" s="20"/>
      <c r="G86" s="17"/>
    </row>
    <row r="87">
      <c r="A87" s="43"/>
      <c r="C87" s="17"/>
      <c r="D87" s="17" t="str">
        <f>IF(C87="","",IFERROR(VLOOKUP(C87,COA!A:B,2,FALSE),"-"))</f>
        <v/>
      </c>
      <c r="F87" s="20"/>
      <c r="G87" s="17"/>
    </row>
    <row r="88">
      <c r="A88" s="43"/>
      <c r="C88" s="17"/>
      <c r="D88" s="17" t="str">
        <f>IF(C88="","",IFERROR(VLOOKUP(C88,COA!A:B,2,FALSE),"-"))</f>
        <v/>
      </c>
      <c r="F88" s="20"/>
      <c r="G88" s="17"/>
    </row>
    <row r="89">
      <c r="A89" s="43"/>
      <c r="C89" s="17"/>
      <c r="D89" s="17" t="str">
        <f>IF(C89="","",IFERROR(VLOOKUP(C89,COA!A:B,2,FALSE),"-"))</f>
        <v/>
      </c>
      <c r="F89" s="20"/>
      <c r="G89" s="17"/>
    </row>
    <row r="90">
      <c r="A90" s="43"/>
      <c r="C90" s="17"/>
      <c r="D90" s="17" t="str">
        <f>IF(C90="","",IFERROR(VLOOKUP(C90,COA!A:B,2,FALSE),"-"))</f>
        <v/>
      </c>
      <c r="F90" s="20"/>
      <c r="G90" s="17"/>
    </row>
    <row r="91">
      <c r="A91" s="43"/>
      <c r="C91" s="17"/>
      <c r="D91" s="17" t="str">
        <f>IF(C91="","",IFERROR(VLOOKUP(C91,COA!A:B,2,FALSE),"-"))</f>
        <v/>
      </c>
      <c r="F91" s="20"/>
      <c r="G91" s="17"/>
    </row>
    <row r="92">
      <c r="A92" s="43"/>
      <c r="C92" s="17"/>
      <c r="D92" s="17" t="str">
        <f>IF(C92="","",IFERROR(VLOOKUP(C92,COA!A:B,2,FALSE),"-"))</f>
        <v/>
      </c>
      <c r="F92" s="20"/>
      <c r="G92" s="17"/>
    </row>
    <row r="93">
      <c r="A93" s="43"/>
      <c r="C93" s="17"/>
      <c r="D93" s="17" t="str">
        <f>IF(C93="","",IFERROR(VLOOKUP(C93,COA!A:B,2,FALSE),"-"))</f>
        <v/>
      </c>
      <c r="F93" s="20"/>
      <c r="G93" s="17"/>
    </row>
    <row r="94">
      <c r="A94" s="43"/>
      <c r="C94" s="17"/>
      <c r="D94" s="17" t="str">
        <f>IF(C94="","",IFERROR(VLOOKUP(C94,COA!A:B,2,FALSE),"-"))</f>
        <v/>
      </c>
      <c r="F94" s="20"/>
      <c r="G94" s="17"/>
    </row>
    <row r="95">
      <c r="A95" s="43"/>
      <c r="C95" s="17"/>
      <c r="D95" s="17" t="str">
        <f>IF(C95="","",IFERROR(VLOOKUP(C95,COA!A:B,2,FALSE),"-"))</f>
        <v/>
      </c>
      <c r="F95" s="20"/>
      <c r="G95" s="17"/>
    </row>
    <row r="96">
      <c r="A96" s="43"/>
      <c r="C96" s="17"/>
      <c r="D96" s="17" t="str">
        <f>IF(C96="","",IFERROR(VLOOKUP(C96,COA!A:B,2,FALSE),"-"))</f>
        <v/>
      </c>
      <c r="F96" s="20"/>
      <c r="G96" s="17"/>
    </row>
    <row r="97">
      <c r="A97" s="43"/>
      <c r="C97" s="17"/>
      <c r="D97" s="17" t="str">
        <f>IF(C97="","",IFERROR(VLOOKUP(C97,COA!A:B,2,FALSE),"-"))</f>
        <v/>
      </c>
      <c r="F97" s="20"/>
      <c r="G97" s="17"/>
    </row>
    <row r="98">
      <c r="A98" s="43"/>
      <c r="C98" s="17"/>
      <c r="D98" s="17" t="str">
        <f>IF(C98="","",IFERROR(VLOOKUP(C98,COA!A:B,2,FALSE),"-"))</f>
        <v/>
      </c>
      <c r="F98" s="20"/>
      <c r="G98" s="17"/>
    </row>
    <row r="99">
      <c r="A99" s="43"/>
      <c r="C99" s="17"/>
      <c r="D99" s="17" t="str">
        <f>IF(C99="","",IFERROR(VLOOKUP(C99,COA!A:B,2,FALSE),"-"))</f>
        <v/>
      </c>
      <c r="F99" s="20"/>
      <c r="G99" s="17"/>
    </row>
    <row r="100">
      <c r="A100" s="43"/>
      <c r="C100" s="17"/>
      <c r="D100" s="17" t="str">
        <f>IF(C100="","",IFERROR(VLOOKUP(C100,COA!A:B,2,FALSE),"-"))</f>
        <v/>
      </c>
      <c r="F100" s="20"/>
      <c r="G100" s="17"/>
    </row>
    <row r="101">
      <c r="A101" s="43"/>
      <c r="C101" s="17"/>
      <c r="D101" s="17" t="str">
        <f>IF(C101="","",IFERROR(VLOOKUP(C101,COA!A:B,2,FALSE),"-"))</f>
        <v/>
      </c>
      <c r="F101" s="20"/>
      <c r="G101" s="17"/>
    </row>
    <row r="102">
      <c r="A102" s="43"/>
      <c r="C102" s="17"/>
      <c r="D102" s="17" t="str">
        <f>IF(C102="","",IFERROR(VLOOKUP(C102,COA!A:B,2,FALSE),"-"))</f>
        <v/>
      </c>
      <c r="F102" s="20"/>
      <c r="G102" s="17"/>
    </row>
    <row r="103">
      <c r="A103" s="43"/>
      <c r="C103" s="17"/>
      <c r="D103" s="17" t="str">
        <f>IF(C103="","",IFERROR(VLOOKUP(C103,COA!A:B,2,FALSE),"-"))</f>
        <v/>
      </c>
      <c r="F103" s="20"/>
      <c r="G103" s="17"/>
    </row>
    <row r="104">
      <c r="A104" s="43"/>
      <c r="C104" s="17"/>
      <c r="D104" s="17" t="str">
        <f>IF(C104="","",IFERROR(VLOOKUP(C104,COA!A:B,2,FALSE),"-"))</f>
        <v/>
      </c>
      <c r="F104" s="20"/>
      <c r="G104" s="17"/>
    </row>
    <row r="105">
      <c r="A105" s="43"/>
      <c r="C105" s="17"/>
      <c r="D105" s="17" t="str">
        <f>IF(C105="","",IFERROR(VLOOKUP(C105,COA!A:B,2,FALSE),"-"))</f>
        <v/>
      </c>
      <c r="F105" s="20"/>
      <c r="G105" s="17"/>
    </row>
    <row r="106">
      <c r="A106" s="43"/>
      <c r="C106" s="17"/>
      <c r="D106" s="17" t="str">
        <f>IF(C106="","",IFERROR(VLOOKUP(C106,COA!A:B,2,FALSE),"-"))</f>
        <v/>
      </c>
      <c r="F106" s="20"/>
      <c r="G106" s="17"/>
    </row>
    <row r="107">
      <c r="A107" s="43"/>
      <c r="C107" s="17"/>
      <c r="D107" s="17" t="str">
        <f>IF(C107="","",IFERROR(VLOOKUP(C107,COA!A:B,2,FALSE),"-"))</f>
        <v/>
      </c>
      <c r="F107" s="20"/>
      <c r="G107" s="17"/>
    </row>
    <row r="108">
      <c r="A108" s="43"/>
      <c r="C108" s="17"/>
      <c r="D108" s="17" t="str">
        <f>IF(C108="","",IFERROR(VLOOKUP(C108,COA!A:B,2,FALSE),"-"))</f>
        <v/>
      </c>
      <c r="F108" s="20"/>
      <c r="G108" s="17"/>
    </row>
    <row r="109">
      <c r="A109" s="43"/>
      <c r="C109" s="17"/>
      <c r="D109" s="17" t="str">
        <f>IF(C109="","",IFERROR(VLOOKUP(C109,COA!A:B,2,FALSE),"-"))</f>
        <v/>
      </c>
      <c r="F109" s="20"/>
      <c r="G109" s="17"/>
    </row>
    <row r="110">
      <c r="A110" s="43"/>
      <c r="C110" s="17"/>
      <c r="D110" s="17" t="str">
        <f>IF(C110="","",IFERROR(VLOOKUP(C110,COA!A:B,2,FALSE),"-"))</f>
        <v/>
      </c>
      <c r="F110" s="20"/>
      <c r="G110" s="17"/>
    </row>
    <row r="111">
      <c r="A111" s="43"/>
      <c r="C111" s="17"/>
      <c r="D111" s="17" t="str">
        <f>IF(C111="","",IFERROR(VLOOKUP(C111,COA!A:B,2,FALSE),"-"))</f>
        <v/>
      </c>
      <c r="F111" s="20"/>
      <c r="G111" s="17"/>
    </row>
    <row r="112">
      <c r="A112" s="43"/>
      <c r="C112" s="17"/>
      <c r="D112" s="17" t="str">
        <f>IF(C112="","",IFERROR(VLOOKUP(C112,COA!A:B,2,FALSE),"-"))</f>
        <v/>
      </c>
      <c r="F112" s="20"/>
      <c r="G112" s="17"/>
    </row>
    <row r="113">
      <c r="A113" s="43"/>
      <c r="C113" s="17"/>
      <c r="D113" s="17" t="str">
        <f>IF(C113="","",IFERROR(VLOOKUP(C113,COA!A:B,2,FALSE),"-"))</f>
        <v/>
      </c>
      <c r="F113" s="20"/>
      <c r="G113" s="17"/>
    </row>
    <row r="114">
      <c r="A114" s="43"/>
      <c r="C114" s="17"/>
      <c r="D114" s="17" t="str">
        <f>IF(C114="","",IFERROR(VLOOKUP(C114,COA!A:B,2,FALSE),"-"))</f>
        <v/>
      </c>
      <c r="F114" s="20"/>
      <c r="G114" s="17"/>
    </row>
    <row r="115">
      <c r="A115" s="43"/>
      <c r="C115" s="17"/>
      <c r="D115" s="17" t="str">
        <f>IF(C115="","",IFERROR(VLOOKUP(C115,COA!A:B,2,FALSE),"-"))</f>
        <v/>
      </c>
      <c r="F115" s="20"/>
      <c r="G115" s="17"/>
    </row>
    <row r="116">
      <c r="A116" s="43"/>
      <c r="C116" s="17"/>
      <c r="D116" s="17" t="str">
        <f>IF(C116="","",IFERROR(VLOOKUP(C116,COA!A:B,2,FALSE),"-"))</f>
        <v/>
      </c>
      <c r="F116" s="20"/>
      <c r="G116" s="17"/>
    </row>
    <row r="117">
      <c r="A117" s="43"/>
      <c r="C117" s="17"/>
      <c r="D117" s="17" t="str">
        <f>IF(C117="","",IFERROR(VLOOKUP(C117,COA!A:B,2,FALSE),"-"))</f>
        <v/>
      </c>
      <c r="F117" s="20"/>
      <c r="G117" s="17"/>
    </row>
    <row r="118">
      <c r="A118" s="43"/>
      <c r="C118" s="17"/>
      <c r="D118" s="17" t="str">
        <f>IF(C118="","",IFERROR(VLOOKUP(C118,COA!A:B,2,FALSE),"-"))</f>
        <v/>
      </c>
      <c r="F118" s="20"/>
      <c r="G118" s="17"/>
    </row>
    <row r="119">
      <c r="A119" s="43"/>
      <c r="C119" s="17"/>
      <c r="D119" s="17" t="str">
        <f>IF(C119="","",IFERROR(VLOOKUP(C119,COA!A:B,2,FALSE),"-"))</f>
        <v/>
      </c>
      <c r="F119" s="20"/>
      <c r="G119" s="17"/>
    </row>
    <row r="120">
      <c r="A120" s="43"/>
      <c r="C120" s="17"/>
      <c r="D120" s="17" t="str">
        <f>IF(C120="","",IFERROR(VLOOKUP(C120,COA!A:B,2,FALSE),"-"))</f>
        <v/>
      </c>
      <c r="F120" s="20"/>
      <c r="G120" s="17"/>
    </row>
    <row r="121">
      <c r="A121" s="43"/>
      <c r="C121" s="17"/>
      <c r="D121" s="17" t="str">
        <f>IF(C121="","",IFERROR(VLOOKUP(C121,COA!A:B,2,FALSE),"-"))</f>
        <v/>
      </c>
      <c r="F121" s="20"/>
      <c r="G121" s="17"/>
    </row>
    <row r="122">
      <c r="A122" s="43"/>
      <c r="C122" s="17"/>
      <c r="D122" s="17" t="str">
        <f>IF(C122="","",IFERROR(VLOOKUP(C122,COA!A:B,2,FALSE),"-"))</f>
        <v/>
      </c>
      <c r="F122" s="20"/>
      <c r="G122" s="17"/>
    </row>
    <row r="123">
      <c r="A123" s="43"/>
      <c r="C123" s="17"/>
      <c r="D123" s="17" t="str">
        <f>IF(C123="","",IFERROR(VLOOKUP(C123,COA!A:B,2,FALSE),"-"))</f>
        <v/>
      </c>
      <c r="F123" s="20"/>
      <c r="G123" s="17"/>
    </row>
    <row r="124">
      <c r="A124" s="43"/>
      <c r="C124" s="17"/>
      <c r="D124" s="17" t="str">
        <f>IF(C124="","",IFERROR(VLOOKUP(C124,COA!A:B,2,FALSE),"-"))</f>
        <v/>
      </c>
      <c r="F124" s="20"/>
      <c r="G124" s="17"/>
    </row>
    <row r="125">
      <c r="A125" s="43"/>
      <c r="C125" s="17"/>
      <c r="D125" s="17" t="str">
        <f>IF(C125="","",IFERROR(VLOOKUP(C125,COA!A:B,2,FALSE),"-"))</f>
        <v/>
      </c>
      <c r="F125" s="20"/>
      <c r="G125" s="17"/>
    </row>
    <row r="126">
      <c r="A126" s="43"/>
      <c r="C126" s="17"/>
      <c r="D126" s="17" t="str">
        <f>IF(C126="","",IFERROR(VLOOKUP(C126,COA!A:B,2,FALSE),"-"))</f>
        <v/>
      </c>
      <c r="F126" s="20"/>
      <c r="G126" s="17"/>
    </row>
    <row r="127">
      <c r="A127" s="43"/>
      <c r="C127" s="17"/>
      <c r="D127" s="17" t="str">
        <f>IF(C127="","",IFERROR(VLOOKUP(C127,COA!A:B,2,FALSE),"-"))</f>
        <v/>
      </c>
      <c r="F127" s="20"/>
      <c r="G127" s="17"/>
    </row>
    <row r="128">
      <c r="A128" s="43"/>
      <c r="C128" s="17"/>
      <c r="D128" s="17" t="str">
        <f>IF(C128="","",IFERROR(VLOOKUP(C128,COA!A:B,2,FALSE),"-"))</f>
        <v/>
      </c>
      <c r="F128" s="20"/>
      <c r="G128" s="17"/>
    </row>
    <row r="129">
      <c r="A129" s="43"/>
      <c r="C129" s="17"/>
      <c r="D129" s="17" t="str">
        <f>IF(C129="","",IFERROR(VLOOKUP(C129,COA!A:B,2,FALSE),"-"))</f>
        <v/>
      </c>
      <c r="F129" s="20"/>
      <c r="G129" s="17"/>
    </row>
    <row r="130">
      <c r="A130" s="43"/>
      <c r="C130" s="17"/>
      <c r="D130" s="17" t="str">
        <f>IF(C130="","",IFERROR(VLOOKUP(C130,COA!A:B,2,FALSE),"-"))</f>
        <v/>
      </c>
      <c r="F130" s="20"/>
      <c r="G130" s="17"/>
    </row>
    <row r="131">
      <c r="A131" s="43"/>
      <c r="C131" s="17"/>
      <c r="D131" s="17" t="str">
        <f>IF(C131="","",IFERROR(VLOOKUP(C131,COA!A:B,2,FALSE),"-"))</f>
        <v/>
      </c>
      <c r="F131" s="20"/>
      <c r="G131" s="17"/>
    </row>
    <row r="132">
      <c r="A132" s="43"/>
      <c r="C132" s="17"/>
      <c r="D132" s="17" t="str">
        <f>IF(C132="","",IFERROR(VLOOKUP(C132,COA!A:B,2,FALSE),"-"))</f>
        <v/>
      </c>
      <c r="F132" s="20"/>
      <c r="G132" s="17"/>
    </row>
    <row r="133">
      <c r="A133" s="43"/>
      <c r="C133" s="17"/>
      <c r="D133" s="17" t="str">
        <f>IF(C133="","",IFERROR(VLOOKUP(C133,COA!A:B,2,FALSE),"-"))</f>
        <v/>
      </c>
      <c r="F133" s="20"/>
      <c r="G133" s="17"/>
    </row>
    <row r="134">
      <c r="A134" s="43"/>
      <c r="C134" s="17"/>
      <c r="D134" s="17" t="str">
        <f>IF(C134="","",IFERROR(VLOOKUP(C134,COA!A:B,2,FALSE),"-"))</f>
        <v/>
      </c>
      <c r="F134" s="20"/>
      <c r="G134" s="17"/>
    </row>
    <row r="135">
      <c r="A135" s="43"/>
      <c r="C135" s="17"/>
      <c r="D135" s="17" t="str">
        <f>IF(C135="","",IFERROR(VLOOKUP(C135,COA!A:B,2,FALSE),"-"))</f>
        <v/>
      </c>
      <c r="F135" s="20"/>
      <c r="G135" s="17"/>
    </row>
    <row r="136">
      <c r="A136" s="43"/>
      <c r="C136" s="17"/>
      <c r="D136" s="17" t="str">
        <f>IF(C136="","",IFERROR(VLOOKUP(C136,COA!A:B,2,FALSE),"-"))</f>
        <v/>
      </c>
      <c r="F136" s="20"/>
      <c r="G136" s="17"/>
    </row>
    <row r="137">
      <c r="A137" s="43"/>
      <c r="C137" s="17"/>
      <c r="D137" s="17" t="str">
        <f>IF(C137="","",IFERROR(VLOOKUP(C137,COA!A:B,2,FALSE),"-"))</f>
        <v/>
      </c>
      <c r="F137" s="20"/>
      <c r="G137" s="17"/>
    </row>
    <row r="138">
      <c r="A138" s="43"/>
      <c r="C138" s="17"/>
      <c r="D138" s="17" t="str">
        <f>IF(C138="","",IFERROR(VLOOKUP(C138,COA!A:B,2,FALSE),"-"))</f>
        <v/>
      </c>
      <c r="F138" s="20"/>
      <c r="G138" s="17"/>
    </row>
    <row r="139">
      <c r="A139" s="43"/>
      <c r="C139" s="17"/>
      <c r="D139" s="17" t="str">
        <f>IF(C139="","",IFERROR(VLOOKUP(C139,COA!A:B,2,FALSE),"-"))</f>
        <v/>
      </c>
      <c r="F139" s="20"/>
      <c r="G139" s="17"/>
    </row>
    <row r="140">
      <c r="A140" s="43"/>
      <c r="C140" s="17"/>
      <c r="D140" s="17" t="str">
        <f>IF(C140="","",IFERROR(VLOOKUP(C140,COA!A:B,2,FALSE),"-"))</f>
        <v/>
      </c>
      <c r="F140" s="20"/>
      <c r="G140" s="17"/>
    </row>
    <row r="141">
      <c r="A141" s="43"/>
      <c r="C141" s="17"/>
      <c r="D141" s="17" t="str">
        <f>IF(C141="","",IFERROR(VLOOKUP(C141,COA!A:B,2,FALSE),"-"))</f>
        <v/>
      </c>
      <c r="F141" s="20"/>
      <c r="G141" s="17"/>
    </row>
    <row r="142">
      <c r="A142" s="43"/>
      <c r="C142" s="17"/>
      <c r="D142" s="17" t="str">
        <f>IF(C142="","",IFERROR(VLOOKUP(C142,COA!A:B,2,FALSE),"-"))</f>
        <v/>
      </c>
      <c r="F142" s="20"/>
      <c r="G142" s="17"/>
    </row>
    <row r="143">
      <c r="A143" s="43"/>
      <c r="C143" s="17"/>
      <c r="D143" s="17" t="str">
        <f>IF(C143="","",IFERROR(VLOOKUP(C143,COA!A:B,2,FALSE),"-"))</f>
        <v/>
      </c>
      <c r="F143" s="20"/>
      <c r="G143" s="17"/>
    </row>
    <row r="144">
      <c r="A144" s="43"/>
      <c r="C144" s="17"/>
      <c r="D144" s="17" t="str">
        <f>IF(C144="","",IFERROR(VLOOKUP(C144,COA!A:B,2,FALSE),"-"))</f>
        <v/>
      </c>
      <c r="F144" s="20"/>
      <c r="G144" s="17"/>
    </row>
    <row r="145">
      <c r="A145" s="43"/>
      <c r="C145" s="17"/>
      <c r="D145" s="17" t="str">
        <f>IF(C145="","",IFERROR(VLOOKUP(C145,COA!A:B,2,FALSE),"-"))</f>
        <v/>
      </c>
      <c r="F145" s="20"/>
      <c r="G145" s="17"/>
    </row>
    <row r="146">
      <c r="A146" s="43"/>
      <c r="C146" s="17"/>
      <c r="D146" s="17" t="str">
        <f>IF(C146="","",IFERROR(VLOOKUP(C146,COA!A:B,2,FALSE),"-"))</f>
        <v/>
      </c>
      <c r="F146" s="20"/>
      <c r="G146" s="17"/>
    </row>
    <row r="147">
      <c r="A147" s="43"/>
      <c r="C147" s="17"/>
      <c r="D147" s="17" t="str">
        <f>IF(C147="","",IFERROR(VLOOKUP(C147,COA!A:B,2,FALSE),"-"))</f>
        <v/>
      </c>
      <c r="F147" s="20"/>
      <c r="G147" s="17"/>
    </row>
    <row r="148">
      <c r="A148" s="43"/>
      <c r="C148" s="17"/>
      <c r="D148" s="17" t="str">
        <f>IF(C148="","",IFERROR(VLOOKUP(C148,COA!A:B,2,FALSE),"-"))</f>
        <v/>
      </c>
      <c r="F148" s="20"/>
      <c r="G148" s="17"/>
    </row>
    <row r="149">
      <c r="A149" s="43"/>
      <c r="C149" s="17"/>
      <c r="D149" s="17" t="str">
        <f>IF(C149="","",IFERROR(VLOOKUP(C149,COA!A:B,2,FALSE),"-"))</f>
        <v/>
      </c>
      <c r="F149" s="20"/>
      <c r="G149" s="17"/>
    </row>
    <row r="150">
      <c r="A150" s="43"/>
      <c r="C150" s="17"/>
      <c r="D150" s="17" t="str">
        <f>IF(C150="","",IFERROR(VLOOKUP(C150,COA!A:B,2,FALSE),"-"))</f>
        <v/>
      </c>
      <c r="F150" s="20"/>
      <c r="G150" s="17"/>
    </row>
    <row r="151">
      <c r="A151" s="43"/>
      <c r="C151" s="17"/>
      <c r="D151" s="17" t="str">
        <f>IF(C151="","",IFERROR(VLOOKUP(C151,COA!A:B,2,FALSE),"-"))</f>
        <v/>
      </c>
      <c r="F151" s="20"/>
      <c r="G151" s="17"/>
    </row>
    <row r="152">
      <c r="A152" s="43"/>
      <c r="C152" s="17"/>
      <c r="D152" s="17" t="str">
        <f>IF(C152="","",IFERROR(VLOOKUP(C152,COA!A:B,2,FALSE),"-"))</f>
        <v/>
      </c>
      <c r="F152" s="20"/>
      <c r="G152" s="17"/>
    </row>
    <row r="153">
      <c r="A153" s="43"/>
      <c r="C153" s="17"/>
      <c r="D153" s="17" t="str">
        <f>IF(C153="","",IFERROR(VLOOKUP(C153,COA!A:B,2,FALSE),"-"))</f>
        <v/>
      </c>
      <c r="F153" s="20"/>
      <c r="G153" s="17"/>
    </row>
    <row r="154">
      <c r="A154" s="43"/>
      <c r="C154" s="17"/>
      <c r="D154" s="17" t="str">
        <f>IF(C154="","",IFERROR(VLOOKUP(C154,COA!A:B,2,FALSE),"-"))</f>
        <v/>
      </c>
      <c r="F154" s="20"/>
      <c r="G154" s="17"/>
    </row>
    <row r="155">
      <c r="A155" s="43"/>
      <c r="C155" s="17"/>
      <c r="D155" s="17" t="str">
        <f>IF(C155="","",IFERROR(VLOOKUP(C155,COA!A:B,2,FALSE),"-"))</f>
        <v/>
      </c>
      <c r="F155" s="20"/>
      <c r="G155" s="17"/>
    </row>
    <row r="156">
      <c r="A156" s="43"/>
      <c r="C156" s="17"/>
      <c r="D156" s="17" t="str">
        <f>IF(C156="","",IFERROR(VLOOKUP(C156,COA!A:B,2,FALSE),"-"))</f>
        <v/>
      </c>
      <c r="F156" s="20"/>
      <c r="G156" s="17"/>
    </row>
    <row r="157">
      <c r="A157" s="43"/>
      <c r="C157" s="17"/>
      <c r="D157" s="17" t="str">
        <f>IF(C157="","",IFERROR(VLOOKUP(C157,COA!A:B,2,FALSE),"-"))</f>
        <v/>
      </c>
      <c r="F157" s="20"/>
      <c r="G157" s="17"/>
    </row>
    <row r="158">
      <c r="A158" s="43"/>
      <c r="C158" s="17"/>
      <c r="D158" s="17" t="str">
        <f>IF(C158="","",IFERROR(VLOOKUP(C158,COA!A:B,2,FALSE),"-"))</f>
        <v/>
      </c>
      <c r="F158" s="20"/>
      <c r="G158" s="17"/>
    </row>
    <row r="159">
      <c r="A159" s="43"/>
      <c r="C159" s="17"/>
      <c r="D159" s="17" t="str">
        <f>IF(C159="","",IFERROR(VLOOKUP(C159,COA!A:B,2,FALSE),"-"))</f>
        <v/>
      </c>
      <c r="F159" s="20"/>
      <c r="G159" s="17"/>
    </row>
    <row r="160">
      <c r="A160" s="43"/>
      <c r="C160" s="17"/>
      <c r="D160" s="17" t="str">
        <f>IF(C160="","",IFERROR(VLOOKUP(C160,COA!A:B,2,FALSE),"-"))</f>
        <v/>
      </c>
      <c r="F160" s="20"/>
      <c r="G160" s="17"/>
    </row>
    <row r="161">
      <c r="A161" s="43"/>
      <c r="C161" s="17"/>
      <c r="D161" s="17" t="str">
        <f>IF(C161="","",IFERROR(VLOOKUP(C161,COA!A:B,2,FALSE),"-"))</f>
        <v/>
      </c>
      <c r="F161" s="20"/>
      <c r="G161" s="17"/>
    </row>
    <row r="162">
      <c r="A162" s="43"/>
      <c r="C162" s="17"/>
      <c r="D162" s="17" t="str">
        <f>IF(C162="","",IFERROR(VLOOKUP(C162,COA!A:B,2,FALSE),"-"))</f>
        <v/>
      </c>
      <c r="F162" s="20"/>
      <c r="G162" s="17"/>
    </row>
    <row r="163">
      <c r="A163" s="43"/>
      <c r="C163" s="17"/>
      <c r="D163" s="17" t="str">
        <f>IF(C163="","",IFERROR(VLOOKUP(C163,COA!A:B,2,FALSE),"-"))</f>
        <v/>
      </c>
      <c r="F163" s="20"/>
      <c r="G163" s="17"/>
    </row>
    <row r="164">
      <c r="A164" s="43"/>
      <c r="C164" s="17"/>
      <c r="D164" s="17" t="str">
        <f>IF(C164="","",IFERROR(VLOOKUP(C164,COA!A:B,2,FALSE),"-"))</f>
        <v/>
      </c>
      <c r="F164" s="20"/>
      <c r="G164" s="17"/>
    </row>
    <row r="165">
      <c r="A165" s="43"/>
      <c r="C165" s="17"/>
      <c r="D165" s="17" t="str">
        <f>IF(C165="","",IFERROR(VLOOKUP(C165,COA!A:B,2,FALSE),"-"))</f>
        <v/>
      </c>
      <c r="F165" s="20"/>
      <c r="G165" s="17"/>
    </row>
    <row r="166">
      <c r="A166" s="43"/>
      <c r="C166" s="17"/>
      <c r="D166" s="17" t="str">
        <f>IF(C166="","",IFERROR(VLOOKUP(C166,COA!A:B,2,FALSE),"-"))</f>
        <v/>
      </c>
      <c r="F166" s="20"/>
      <c r="G166" s="17"/>
    </row>
    <row r="167">
      <c r="A167" s="43"/>
      <c r="C167" s="17"/>
      <c r="D167" s="17" t="str">
        <f>IF(C167="","",IFERROR(VLOOKUP(C167,COA!A:B,2,FALSE),"-"))</f>
        <v/>
      </c>
      <c r="F167" s="20"/>
      <c r="G167" s="17"/>
    </row>
    <row r="168">
      <c r="A168" s="43"/>
      <c r="C168" s="17"/>
      <c r="D168" s="17" t="str">
        <f>IF(C168="","",IFERROR(VLOOKUP(C168,COA!A:B,2,FALSE),"-"))</f>
        <v/>
      </c>
      <c r="F168" s="20"/>
      <c r="G168" s="17"/>
    </row>
    <row r="169">
      <c r="A169" s="43"/>
      <c r="C169" s="17"/>
      <c r="D169" s="17" t="str">
        <f>IF(C169="","",IFERROR(VLOOKUP(C169,COA!A:B,2,FALSE),"-"))</f>
        <v/>
      </c>
      <c r="F169" s="20"/>
      <c r="G169" s="17"/>
    </row>
    <row r="170">
      <c r="A170" s="43"/>
      <c r="C170" s="17"/>
      <c r="D170" s="17" t="str">
        <f>IF(C170="","",IFERROR(VLOOKUP(C170,COA!A:B,2,FALSE),"-"))</f>
        <v/>
      </c>
      <c r="F170" s="20"/>
      <c r="G170" s="17"/>
    </row>
    <row r="171">
      <c r="A171" s="43"/>
      <c r="C171" s="17"/>
      <c r="D171" s="17" t="str">
        <f>IF(C171="","",IFERROR(VLOOKUP(C171,COA!A:B,2,FALSE),"-"))</f>
        <v/>
      </c>
      <c r="F171" s="20"/>
      <c r="G171" s="17"/>
    </row>
    <row r="172">
      <c r="A172" s="43"/>
      <c r="C172" s="17"/>
      <c r="D172" s="17" t="str">
        <f>IF(C172="","",IFERROR(VLOOKUP(C172,COA!A:B,2,FALSE),"-"))</f>
        <v/>
      </c>
      <c r="F172" s="20"/>
      <c r="G172" s="17"/>
    </row>
    <row r="173">
      <c r="A173" s="43"/>
      <c r="C173" s="17"/>
      <c r="D173" s="17" t="str">
        <f>IF(C173="","",IFERROR(VLOOKUP(C173,COA!A:B,2,FALSE),"-"))</f>
        <v/>
      </c>
      <c r="F173" s="20"/>
      <c r="G173" s="17"/>
    </row>
    <row r="174">
      <c r="A174" s="43"/>
      <c r="C174" s="17"/>
      <c r="D174" s="17" t="str">
        <f>IF(C174="","",IFERROR(VLOOKUP(C174,COA!A:B,2,FALSE),"-"))</f>
        <v/>
      </c>
      <c r="F174" s="20"/>
      <c r="G174" s="17"/>
    </row>
    <row r="175">
      <c r="A175" s="43"/>
      <c r="C175" s="17"/>
      <c r="D175" s="17" t="str">
        <f>IF(C175="","",IFERROR(VLOOKUP(C175,COA!A:B,2,FALSE),"-"))</f>
        <v/>
      </c>
      <c r="F175" s="20"/>
      <c r="G175" s="17"/>
    </row>
    <row r="176">
      <c r="A176" s="43"/>
      <c r="C176" s="17"/>
      <c r="D176" s="17" t="str">
        <f>IF(C176="","",IFERROR(VLOOKUP(C176,COA!A:B,2,FALSE),"-"))</f>
        <v/>
      </c>
      <c r="F176" s="20"/>
      <c r="G176" s="17"/>
    </row>
    <row r="177">
      <c r="A177" s="43"/>
      <c r="C177" s="17"/>
      <c r="D177" s="17" t="str">
        <f>IF(C177="","",IFERROR(VLOOKUP(C177,COA!A:B,2,FALSE),"-"))</f>
        <v/>
      </c>
      <c r="F177" s="20"/>
      <c r="G177" s="17"/>
    </row>
    <row r="178">
      <c r="A178" s="43"/>
      <c r="C178" s="17"/>
      <c r="D178" s="17" t="str">
        <f>IF(C178="","",IFERROR(VLOOKUP(C178,COA!A:B,2,FALSE),"-"))</f>
        <v/>
      </c>
      <c r="F178" s="20"/>
      <c r="G178" s="17"/>
    </row>
    <row r="179">
      <c r="A179" s="43"/>
      <c r="C179" s="17"/>
      <c r="D179" s="17" t="str">
        <f>IF(C179="","",IFERROR(VLOOKUP(C179,COA!A:B,2,FALSE),"-"))</f>
        <v/>
      </c>
      <c r="F179" s="20"/>
      <c r="G179" s="17"/>
    </row>
    <row r="180">
      <c r="A180" s="43"/>
      <c r="C180" s="17"/>
      <c r="D180" s="17" t="str">
        <f>IF(C180="","",IFERROR(VLOOKUP(C180,COA!A:B,2,FALSE),"-"))</f>
        <v/>
      </c>
      <c r="F180" s="20"/>
      <c r="G180" s="17"/>
    </row>
    <row r="181">
      <c r="A181" s="43"/>
      <c r="C181" s="17"/>
      <c r="D181" s="17" t="str">
        <f>IF(C181="","",IFERROR(VLOOKUP(C181,COA!A:B,2,FALSE),"-"))</f>
        <v/>
      </c>
      <c r="F181" s="20"/>
      <c r="G181" s="17"/>
    </row>
    <row r="182">
      <c r="A182" s="43"/>
      <c r="C182" s="17"/>
      <c r="D182" s="17" t="str">
        <f>IF(C182="","",IFERROR(VLOOKUP(C182,COA!A:B,2,FALSE),"-"))</f>
        <v/>
      </c>
      <c r="F182" s="20"/>
      <c r="G182" s="17"/>
    </row>
    <row r="183">
      <c r="A183" s="43"/>
      <c r="C183" s="17"/>
      <c r="D183" s="17" t="str">
        <f>IF(C183="","",IFERROR(VLOOKUP(C183,COA!A:B,2,FALSE),"-"))</f>
        <v/>
      </c>
      <c r="F183" s="20"/>
      <c r="G183" s="17"/>
    </row>
    <row r="184">
      <c r="A184" s="43"/>
      <c r="C184" s="17"/>
      <c r="D184" s="17" t="str">
        <f>IF(C184="","",IFERROR(VLOOKUP(C184,COA!A:B,2,FALSE),"-"))</f>
        <v/>
      </c>
      <c r="F184" s="20"/>
      <c r="G184" s="17"/>
    </row>
    <row r="185">
      <c r="A185" s="43"/>
      <c r="C185" s="17"/>
      <c r="D185" s="17" t="str">
        <f>IF(C185="","",IFERROR(VLOOKUP(C185,COA!A:B,2,FALSE),"-"))</f>
        <v/>
      </c>
      <c r="F185" s="20"/>
      <c r="G185" s="17"/>
    </row>
    <row r="186">
      <c r="A186" s="43"/>
      <c r="C186" s="17"/>
      <c r="D186" s="17" t="str">
        <f>IF(C186="","",IFERROR(VLOOKUP(C186,COA!A:B,2,FALSE),"-"))</f>
        <v/>
      </c>
      <c r="F186" s="20"/>
      <c r="G186" s="17"/>
    </row>
    <row r="187">
      <c r="A187" s="43"/>
      <c r="C187" s="17"/>
      <c r="D187" s="17" t="str">
        <f>IF(C187="","",IFERROR(VLOOKUP(C187,COA!A:B,2,FALSE),"-"))</f>
        <v/>
      </c>
      <c r="F187" s="20"/>
      <c r="G187" s="17"/>
    </row>
    <row r="188">
      <c r="A188" s="43"/>
      <c r="C188" s="17"/>
      <c r="D188" s="17" t="str">
        <f>IF(C188="","",IFERROR(VLOOKUP(C188,COA!A:B,2,FALSE),"-"))</f>
        <v/>
      </c>
      <c r="F188" s="20"/>
      <c r="G188" s="17"/>
    </row>
    <row r="189">
      <c r="A189" s="43"/>
      <c r="C189" s="17"/>
      <c r="D189" s="17" t="str">
        <f>IF(C189="","",IFERROR(VLOOKUP(C189,COA!A:B,2,FALSE),"-"))</f>
        <v/>
      </c>
      <c r="F189" s="20"/>
      <c r="G189" s="17"/>
    </row>
    <row r="190">
      <c r="A190" s="43"/>
      <c r="C190" s="17"/>
      <c r="D190" s="17" t="str">
        <f>IF(C190="","",IFERROR(VLOOKUP(C190,COA!A:B,2,FALSE),"-"))</f>
        <v/>
      </c>
      <c r="F190" s="20"/>
      <c r="G190" s="17"/>
    </row>
    <row r="191">
      <c r="A191" s="43"/>
      <c r="C191" s="17"/>
      <c r="D191" s="17" t="str">
        <f>IF(C191="","",IFERROR(VLOOKUP(C191,COA!A:B,2,FALSE),"-"))</f>
        <v/>
      </c>
      <c r="F191" s="20"/>
      <c r="G191" s="17"/>
    </row>
    <row r="192">
      <c r="A192" s="43"/>
      <c r="C192" s="17"/>
      <c r="D192" s="17" t="str">
        <f>IF(C192="","",IFERROR(VLOOKUP(C192,COA!A:B,2,FALSE),"-"))</f>
        <v/>
      </c>
      <c r="F192" s="20"/>
      <c r="G192" s="17"/>
    </row>
    <row r="193">
      <c r="A193" s="43"/>
      <c r="C193" s="17"/>
      <c r="D193" s="17" t="str">
        <f>IF(C193="","",IFERROR(VLOOKUP(C193,COA!A:B,2,FALSE),"-"))</f>
        <v/>
      </c>
      <c r="F193" s="20"/>
      <c r="G193" s="17"/>
    </row>
    <row r="194">
      <c r="A194" s="43"/>
      <c r="C194" s="17"/>
      <c r="D194" s="17" t="str">
        <f>IF(C194="","",IFERROR(VLOOKUP(C194,COA!A:B,2,FALSE),"-"))</f>
        <v/>
      </c>
      <c r="F194" s="20"/>
      <c r="G194" s="17"/>
    </row>
    <row r="195">
      <c r="A195" s="43"/>
      <c r="C195" s="17"/>
      <c r="D195" s="17" t="str">
        <f>IF(C195="","",IFERROR(VLOOKUP(C195,COA!A:B,2,FALSE),"-"))</f>
        <v/>
      </c>
      <c r="F195" s="20"/>
      <c r="G195" s="17"/>
    </row>
    <row r="196">
      <c r="A196" s="43"/>
      <c r="C196" s="17"/>
      <c r="D196" s="17" t="str">
        <f>IF(C196="","",IFERROR(VLOOKUP(C196,COA!A:B,2,FALSE),"-"))</f>
        <v/>
      </c>
      <c r="F196" s="20"/>
      <c r="G196" s="17"/>
    </row>
    <row r="197">
      <c r="A197" s="43"/>
      <c r="C197" s="17"/>
      <c r="D197" s="17" t="str">
        <f>IF(C197="","",IFERROR(VLOOKUP(C197,COA!A:B,2,FALSE),"-"))</f>
        <v/>
      </c>
      <c r="F197" s="20"/>
      <c r="G197" s="17"/>
    </row>
    <row r="198">
      <c r="A198" s="43"/>
      <c r="C198" s="17"/>
      <c r="D198" s="17" t="str">
        <f>IF(C198="","",IFERROR(VLOOKUP(C198,COA!A:B,2,FALSE),"-"))</f>
        <v/>
      </c>
      <c r="F198" s="20"/>
      <c r="G198" s="17"/>
    </row>
    <row r="199">
      <c r="A199" s="43"/>
      <c r="C199" s="17"/>
      <c r="D199" s="17" t="str">
        <f>IF(C199="","",IFERROR(VLOOKUP(C199,COA!A:B,2,FALSE),"-"))</f>
        <v/>
      </c>
      <c r="F199" s="20"/>
      <c r="G199" s="17"/>
    </row>
    <row r="200">
      <c r="A200" s="43"/>
      <c r="C200" s="17"/>
      <c r="D200" s="17" t="str">
        <f>IF(C200="","",IFERROR(VLOOKUP(C200,COA!A:B,2,FALSE),"-"))</f>
        <v/>
      </c>
      <c r="F200" s="20"/>
      <c r="G200" s="17"/>
    </row>
    <row r="201">
      <c r="A201" s="43"/>
      <c r="C201" s="17"/>
      <c r="D201" s="17" t="str">
        <f>IF(C201="","",IFERROR(VLOOKUP(C201,COA!A:B,2,FALSE),"-"))</f>
        <v/>
      </c>
      <c r="F201" s="20"/>
      <c r="G201" s="17"/>
    </row>
    <row r="202">
      <c r="A202" s="43"/>
      <c r="C202" s="17"/>
      <c r="D202" s="17" t="str">
        <f>IF(C202="","",IFERROR(VLOOKUP(C202,COA!A:B,2,FALSE),"-"))</f>
        <v/>
      </c>
      <c r="F202" s="20"/>
      <c r="G202" s="17"/>
    </row>
    <row r="203">
      <c r="A203" s="43"/>
      <c r="C203" s="17"/>
      <c r="D203" s="17" t="str">
        <f>IF(C203="","",IFERROR(VLOOKUP(C203,COA!A:B,2,FALSE),"-"))</f>
        <v/>
      </c>
      <c r="F203" s="20"/>
      <c r="G203" s="17"/>
    </row>
    <row r="204">
      <c r="A204" s="43"/>
      <c r="C204" s="17"/>
      <c r="D204" s="17" t="str">
        <f>IF(C204="","",IFERROR(VLOOKUP(C204,COA!A:B,2,FALSE),"-"))</f>
        <v/>
      </c>
      <c r="F204" s="20"/>
      <c r="G204" s="17"/>
    </row>
    <row r="205">
      <c r="A205" s="43"/>
      <c r="C205" s="17"/>
      <c r="D205" s="17" t="str">
        <f>IF(C205="","",IFERROR(VLOOKUP(C205,COA!A:B,2,FALSE),"-"))</f>
        <v/>
      </c>
      <c r="F205" s="20"/>
      <c r="G205" s="17"/>
    </row>
    <row r="206">
      <c r="A206" s="43"/>
      <c r="C206" s="17"/>
      <c r="D206" s="17" t="str">
        <f>IF(C206="","",IFERROR(VLOOKUP(C206,COA!A:B,2,FALSE),"-"))</f>
        <v/>
      </c>
      <c r="F206" s="20"/>
      <c r="G206" s="17"/>
    </row>
    <row r="207">
      <c r="A207" s="43"/>
      <c r="C207" s="17"/>
      <c r="D207" s="17" t="str">
        <f>IF(C207="","",IFERROR(VLOOKUP(C207,COA!A:B,2,FALSE),"-"))</f>
        <v/>
      </c>
      <c r="F207" s="20"/>
      <c r="G207" s="17"/>
    </row>
    <row r="208">
      <c r="A208" s="43"/>
      <c r="C208" s="17"/>
      <c r="D208" s="17" t="str">
        <f>IF(C208="","",IFERROR(VLOOKUP(C208,COA!A:B,2,FALSE),"-"))</f>
        <v/>
      </c>
      <c r="F208" s="20"/>
      <c r="G208" s="17"/>
    </row>
    <row r="209">
      <c r="A209" s="43"/>
      <c r="C209" s="17"/>
      <c r="D209" s="17" t="str">
        <f>IF(C209="","",IFERROR(VLOOKUP(C209,COA!A:B,2,FALSE),"-"))</f>
        <v/>
      </c>
      <c r="F209" s="20"/>
      <c r="G209" s="17"/>
    </row>
    <row r="210">
      <c r="A210" s="43"/>
      <c r="C210" s="17"/>
      <c r="D210" s="17" t="str">
        <f>IF(C210="","",IFERROR(VLOOKUP(C210,COA!A:B,2,FALSE),"-"))</f>
        <v/>
      </c>
      <c r="F210" s="20"/>
      <c r="G210" s="17"/>
    </row>
    <row r="211">
      <c r="A211" s="43"/>
      <c r="C211" s="17"/>
      <c r="D211" s="17" t="str">
        <f>IF(C211="","",IFERROR(VLOOKUP(C211,COA!A:B,2,FALSE),"-"))</f>
        <v/>
      </c>
      <c r="F211" s="20"/>
      <c r="G211" s="17"/>
    </row>
    <row r="212">
      <c r="A212" s="43"/>
      <c r="C212" s="17"/>
      <c r="D212" s="17" t="str">
        <f>IF(C212="","",IFERROR(VLOOKUP(C212,COA!A:B,2,FALSE),"-"))</f>
        <v/>
      </c>
      <c r="F212" s="20"/>
      <c r="G212" s="17"/>
    </row>
    <row r="213">
      <c r="A213" s="43"/>
      <c r="C213" s="17"/>
      <c r="D213" s="17" t="str">
        <f>IF(C213="","",IFERROR(VLOOKUP(C213,COA!A:B,2,FALSE),"-"))</f>
        <v/>
      </c>
      <c r="F213" s="20"/>
      <c r="G213" s="17"/>
    </row>
    <row r="214">
      <c r="A214" s="43"/>
      <c r="C214" s="17"/>
      <c r="D214" s="17" t="str">
        <f>IF(C214="","",IFERROR(VLOOKUP(C214,COA!A:B,2,FALSE),"-"))</f>
        <v/>
      </c>
      <c r="F214" s="20"/>
      <c r="G214" s="17"/>
    </row>
    <row r="215">
      <c r="A215" s="43"/>
      <c r="C215" s="17"/>
      <c r="D215" s="17" t="str">
        <f>IF(C215="","",IFERROR(VLOOKUP(C215,COA!A:B,2,FALSE),"-"))</f>
        <v/>
      </c>
      <c r="F215" s="20"/>
      <c r="G215" s="17"/>
    </row>
    <row r="216">
      <c r="A216" s="43"/>
      <c r="C216" s="17"/>
      <c r="D216" s="17" t="str">
        <f>IF(C216="","",IFERROR(VLOOKUP(C216,COA!A:B,2,FALSE),"-"))</f>
        <v/>
      </c>
      <c r="F216" s="20"/>
      <c r="G216" s="17"/>
    </row>
    <row r="217">
      <c r="A217" s="43"/>
      <c r="C217" s="17"/>
      <c r="D217" s="17" t="str">
        <f>IF(C217="","",IFERROR(VLOOKUP(C217,COA!A:B,2,FALSE),"-"))</f>
        <v/>
      </c>
      <c r="F217" s="20"/>
      <c r="G217" s="17"/>
    </row>
    <row r="218">
      <c r="A218" s="43"/>
      <c r="C218" s="17"/>
      <c r="D218" s="17" t="str">
        <f>IF(C218="","",IFERROR(VLOOKUP(C218,COA!A:B,2,FALSE),"-"))</f>
        <v/>
      </c>
      <c r="F218" s="20"/>
      <c r="G218" s="17"/>
    </row>
    <row r="219">
      <c r="A219" s="43"/>
      <c r="C219" s="17"/>
      <c r="D219" s="17" t="str">
        <f>IF(C219="","",IFERROR(VLOOKUP(C219,COA!A:B,2,FALSE),"-"))</f>
        <v/>
      </c>
      <c r="F219" s="20"/>
      <c r="G219" s="17"/>
    </row>
    <row r="220">
      <c r="A220" s="43"/>
      <c r="C220" s="17"/>
      <c r="D220" s="17" t="str">
        <f>IF(C220="","",IFERROR(VLOOKUP(C220,COA!A:B,2,FALSE),"-"))</f>
        <v/>
      </c>
      <c r="F220" s="20"/>
      <c r="G220" s="17"/>
    </row>
    <row r="221">
      <c r="A221" s="43"/>
      <c r="C221" s="17"/>
      <c r="D221" s="17" t="str">
        <f>IF(C221="","",IFERROR(VLOOKUP(C221,COA!A:B,2,FALSE),"-"))</f>
        <v/>
      </c>
      <c r="F221" s="20"/>
      <c r="G221" s="17"/>
    </row>
    <row r="222">
      <c r="A222" s="43"/>
      <c r="C222" s="17"/>
      <c r="D222" s="17" t="str">
        <f>IF(C222="","",IFERROR(VLOOKUP(C222,COA!A:B,2,FALSE),"-"))</f>
        <v/>
      </c>
      <c r="F222" s="20"/>
      <c r="G222" s="17"/>
    </row>
    <row r="223">
      <c r="A223" s="43"/>
      <c r="C223" s="17"/>
      <c r="D223" s="17" t="str">
        <f>IF(C223="","",IFERROR(VLOOKUP(C223,COA!A:B,2,FALSE),"-"))</f>
        <v/>
      </c>
      <c r="F223" s="20"/>
      <c r="G223" s="17"/>
    </row>
    <row r="224">
      <c r="A224" s="43"/>
      <c r="C224" s="17"/>
      <c r="D224" s="17" t="str">
        <f>IF(C224="","",IFERROR(VLOOKUP(C224,COA!A:B,2,FALSE),"-"))</f>
        <v/>
      </c>
      <c r="F224" s="20"/>
      <c r="G224" s="17"/>
    </row>
    <row r="225">
      <c r="A225" s="43"/>
      <c r="C225" s="17"/>
      <c r="D225" s="17" t="str">
        <f>IF(C225="","",IFERROR(VLOOKUP(C225,COA!A:B,2,FALSE),"-"))</f>
        <v/>
      </c>
      <c r="F225" s="20"/>
      <c r="G225" s="17"/>
    </row>
    <row r="226">
      <c r="A226" s="43"/>
      <c r="C226" s="17"/>
      <c r="D226" s="17" t="str">
        <f>IF(C226="","",IFERROR(VLOOKUP(C226,COA!A:B,2,FALSE),"-"))</f>
        <v/>
      </c>
      <c r="F226" s="20"/>
      <c r="G226" s="17"/>
    </row>
    <row r="227">
      <c r="A227" s="43"/>
      <c r="C227" s="17"/>
      <c r="D227" s="17" t="str">
        <f>IF(C227="","",IFERROR(VLOOKUP(C227,COA!A:B,2,FALSE),"-"))</f>
        <v/>
      </c>
      <c r="F227" s="20"/>
      <c r="G227" s="17"/>
    </row>
    <row r="228">
      <c r="A228" s="43"/>
      <c r="C228" s="17"/>
      <c r="D228" s="17" t="str">
        <f>IF(C228="","",IFERROR(VLOOKUP(C228,COA!A:B,2,FALSE),"-"))</f>
        <v/>
      </c>
      <c r="F228" s="20"/>
      <c r="G228" s="17"/>
    </row>
    <row r="229">
      <c r="A229" s="43"/>
      <c r="C229" s="17"/>
      <c r="D229" s="17" t="str">
        <f>IF(C229="","",IFERROR(VLOOKUP(C229,COA!A:B,2,FALSE),"-"))</f>
        <v/>
      </c>
      <c r="F229" s="20"/>
      <c r="G229" s="17"/>
    </row>
    <row r="230">
      <c r="A230" s="43"/>
      <c r="C230" s="17"/>
      <c r="D230" s="17" t="str">
        <f>IF(C230="","",IFERROR(VLOOKUP(C230,COA!A:B,2,FALSE),"-"))</f>
        <v/>
      </c>
      <c r="F230" s="20"/>
      <c r="G230" s="17"/>
    </row>
    <row r="231">
      <c r="A231" s="43"/>
      <c r="C231" s="17"/>
      <c r="D231" s="17" t="str">
        <f>IF(C231="","",IFERROR(VLOOKUP(C231,COA!A:B,2,FALSE),"-"))</f>
        <v/>
      </c>
      <c r="F231" s="20"/>
      <c r="G231" s="17"/>
    </row>
    <row r="232">
      <c r="A232" s="43"/>
      <c r="C232" s="17"/>
      <c r="D232" s="17" t="str">
        <f>IF(C232="","",IFERROR(VLOOKUP(C232,COA!A:B,2,FALSE),"-"))</f>
        <v/>
      </c>
      <c r="F232" s="20"/>
      <c r="G232" s="17"/>
    </row>
    <row r="233">
      <c r="A233" s="43"/>
      <c r="C233" s="17"/>
      <c r="D233" s="17" t="str">
        <f>IF(C233="","",IFERROR(VLOOKUP(C233,COA!A:B,2,FALSE),"-"))</f>
        <v/>
      </c>
      <c r="F233" s="20"/>
      <c r="G233" s="17"/>
    </row>
    <row r="234">
      <c r="A234" s="43"/>
      <c r="C234" s="17"/>
      <c r="D234" s="17" t="str">
        <f>IF(C234="","",IFERROR(VLOOKUP(C234,COA!A:B,2,FALSE),"-"))</f>
        <v/>
      </c>
      <c r="F234" s="20"/>
      <c r="G234" s="17"/>
    </row>
    <row r="235">
      <c r="A235" s="43"/>
      <c r="C235" s="17"/>
      <c r="D235" s="17" t="str">
        <f>IF(C235="","",IFERROR(VLOOKUP(C235,COA!A:B,2,FALSE),"-"))</f>
        <v/>
      </c>
      <c r="F235" s="20"/>
      <c r="G235" s="17"/>
    </row>
    <row r="236">
      <c r="A236" s="43"/>
      <c r="C236" s="17"/>
      <c r="D236" s="17" t="str">
        <f>IF(C236="","",IFERROR(VLOOKUP(C236,COA!A:B,2,FALSE),"-"))</f>
        <v/>
      </c>
      <c r="F236" s="20"/>
      <c r="G236" s="17"/>
    </row>
    <row r="237">
      <c r="A237" s="43"/>
      <c r="C237" s="17"/>
      <c r="D237" s="17" t="str">
        <f>IF(C237="","",IFERROR(VLOOKUP(C237,COA!A:B,2,FALSE),"-"))</f>
        <v/>
      </c>
      <c r="F237" s="20"/>
      <c r="G237" s="17"/>
    </row>
    <row r="238">
      <c r="A238" s="43"/>
      <c r="C238" s="17"/>
      <c r="D238" s="17" t="str">
        <f>IF(C238="","",IFERROR(VLOOKUP(C238,COA!A:B,2,FALSE),"-"))</f>
        <v/>
      </c>
      <c r="F238" s="20"/>
      <c r="G238" s="17"/>
    </row>
    <row r="239">
      <c r="A239" s="43"/>
      <c r="C239" s="17"/>
      <c r="D239" s="17" t="str">
        <f>IF(C239="","",IFERROR(VLOOKUP(C239,COA!A:B,2,FALSE),"-"))</f>
        <v/>
      </c>
      <c r="F239" s="20"/>
      <c r="G239" s="17"/>
    </row>
    <row r="240">
      <c r="A240" s="43"/>
      <c r="C240" s="17"/>
      <c r="D240" s="17" t="str">
        <f>IF(C240="","",IFERROR(VLOOKUP(C240,COA!A:B,2,FALSE),"-"))</f>
        <v/>
      </c>
      <c r="F240" s="20"/>
      <c r="G240" s="17"/>
    </row>
    <row r="241">
      <c r="A241" s="43"/>
      <c r="C241" s="17"/>
      <c r="D241" s="17" t="str">
        <f>IF(C241="","",IFERROR(VLOOKUP(C241,COA!A:B,2,FALSE),"-"))</f>
        <v/>
      </c>
      <c r="F241" s="20"/>
      <c r="G241" s="17"/>
    </row>
    <row r="242">
      <c r="A242" s="43"/>
      <c r="C242" s="17"/>
      <c r="D242" s="17" t="str">
        <f>IF(C242="","",IFERROR(VLOOKUP(C242,COA!A:B,2,FALSE),"-"))</f>
        <v/>
      </c>
      <c r="F242" s="20"/>
      <c r="G242" s="17"/>
    </row>
    <row r="243">
      <c r="A243" s="43"/>
      <c r="C243" s="17"/>
      <c r="D243" s="17" t="str">
        <f>IF(C243="","",IFERROR(VLOOKUP(C243,COA!A:B,2,FALSE),"-"))</f>
        <v/>
      </c>
      <c r="F243" s="20"/>
      <c r="G243" s="17"/>
    </row>
    <row r="244">
      <c r="A244" s="43"/>
      <c r="C244" s="17"/>
      <c r="D244" s="17" t="str">
        <f>IF(C244="","",IFERROR(VLOOKUP(C244,COA!A:B,2,FALSE),"-"))</f>
        <v/>
      </c>
      <c r="F244" s="20"/>
      <c r="G244" s="17"/>
    </row>
    <row r="245">
      <c r="A245" s="43"/>
      <c r="C245" s="17"/>
      <c r="D245" s="17" t="str">
        <f>IF(C245="","",IFERROR(VLOOKUP(C245,COA!A:B,2,FALSE),"-"))</f>
        <v/>
      </c>
      <c r="F245" s="20"/>
      <c r="G245" s="17"/>
    </row>
    <row r="246">
      <c r="A246" s="43"/>
      <c r="C246" s="17"/>
      <c r="D246" s="17" t="str">
        <f>IF(C246="","",IFERROR(VLOOKUP(C246,COA!A:B,2,FALSE),"-"))</f>
        <v/>
      </c>
      <c r="F246" s="20"/>
      <c r="G246" s="17"/>
    </row>
    <row r="247">
      <c r="A247" s="43"/>
      <c r="C247" s="17"/>
      <c r="D247" s="17" t="str">
        <f>IF(C247="","",IFERROR(VLOOKUP(C247,COA!A:B,2,FALSE),"-"))</f>
        <v/>
      </c>
      <c r="F247" s="20"/>
      <c r="G247" s="17"/>
    </row>
    <row r="248">
      <c r="A248" s="43"/>
      <c r="C248" s="17"/>
      <c r="D248" s="17" t="str">
        <f>IF(C248="","",IFERROR(VLOOKUP(C248,COA!A:B,2,FALSE),"-"))</f>
        <v/>
      </c>
      <c r="F248" s="20"/>
      <c r="G248" s="17"/>
    </row>
    <row r="249">
      <c r="A249" s="43"/>
      <c r="C249" s="17"/>
      <c r="D249" s="17" t="str">
        <f>IF(C249="","",IFERROR(VLOOKUP(C249,COA!A:B,2,FALSE),"-"))</f>
        <v/>
      </c>
      <c r="F249" s="20"/>
      <c r="G249" s="17"/>
    </row>
    <row r="250">
      <c r="A250" s="43"/>
      <c r="C250" s="17"/>
      <c r="D250" s="17" t="str">
        <f>IF(C250="","",IFERROR(VLOOKUP(C250,COA!A:B,2,FALSE),"-"))</f>
        <v/>
      </c>
      <c r="F250" s="20"/>
      <c r="G250" s="17"/>
    </row>
    <row r="251">
      <c r="A251" s="43"/>
      <c r="C251" s="17"/>
      <c r="D251" s="17" t="str">
        <f>IF(C251="","",IFERROR(VLOOKUP(C251,COA!A:B,2,FALSE),"-"))</f>
        <v/>
      </c>
      <c r="F251" s="20"/>
      <c r="G251" s="17"/>
    </row>
    <row r="252">
      <c r="A252" s="43"/>
      <c r="C252" s="17"/>
      <c r="D252" s="17" t="str">
        <f>IF(C252="","",IFERROR(VLOOKUP(C252,COA!A:B,2,FALSE),"-"))</f>
        <v/>
      </c>
      <c r="F252" s="20"/>
      <c r="G252" s="17"/>
    </row>
    <row r="253">
      <c r="A253" s="43"/>
      <c r="C253" s="17"/>
      <c r="D253" s="17" t="str">
        <f>IF(C253="","",IFERROR(VLOOKUP(C253,COA!A:B,2,FALSE),"-"))</f>
        <v/>
      </c>
      <c r="F253" s="20"/>
      <c r="G253" s="17"/>
    </row>
    <row r="254">
      <c r="A254" s="43"/>
      <c r="C254" s="17"/>
      <c r="D254" s="17" t="str">
        <f>IF(C254="","",IFERROR(VLOOKUP(C254,COA!A:B,2,FALSE),"-"))</f>
        <v/>
      </c>
      <c r="F254" s="20"/>
      <c r="G254" s="17"/>
    </row>
    <row r="255">
      <c r="A255" s="43"/>
      <c r="C255" s="17"/>
      <c r="D255" s="17" t="str">
        <f>IF(C255="","",IFERROR(VLOOKUP(C255,COA!A:B,2,FALSE),"-"))</f>
        <v/>
      </c>
      <c r="F255" s="20"/>
      <c r="G255" s="17"/>
    </row>
    <row r="256">
      <c r="A256" s="43"/>
      <c r="C256" s="17"/>
      <c r="D256" s="17" t="str">
        <f>IF(C256="","",IFERROR(VLOOKUP(C256,COA!A:B,2,FALSE),"-"))</f>
        <v/>
      </c>
      <c r="F256" s="20"/>
      <c r="G256" s="17"/>
    </row>
    <row r="257">
      <c r="A257" s="43"/>
      <c r="C257" s="17"/>
      <c r="D257" s="17" t="str">
        <f>IF(C257="","",IFERROR(VLOOKUP(C257,COA!A:B,2,FALSE),"-"))</f>
        <v/>
      </c>
      <c r="F257" s="20"/>
      <c r="G257" s="17"/>
    </row>
    <row r="258">
      <c r="A258" s="43"/>
      <c r="C258" s="17"/>
      <c r="D258" s="17" t="str">
        <f>IF(C258="","",IFERROR(VLOOKUP(C258,COA!A:B,2,FALSE),"-"))</f>
        <v/>
      </c>
      <c r="F258" s="20"/>
      <c r="G258" s="17"/>
    </row>
    <row r="259">
      <c r="A259" s="43"/>
      <c r="C259" s="17"/>
      <c r="D259" s="17" t="str">
        <f>IF(C259="","",IFERROR(VLOOKUP(C259,COA!A:B,2,FALSE),"-"))</f>
        <v/>
      </c>
      <c r="F259" s="20"/>
      <c r="G259" s="17"/>
    </row>
    <row r="260">
      <c r="A260" s="43"/>
      <c r="C260" s="17"/>
      <c r="D260" s="17" t="str">
        <f>IF(C260="","",IFERROR(VLOOKUP(C260,COA!A:B,2,FALSE),"-"))</f>
        <v/>
      </c>
      <c r="F260" s="20"/>
      <c r="G260" s="17"/>
    </row>
    <row r="261">
      <c r="A261" s="43"/>
      <c r="C261" s="17"/>
      <c r="D261" s="17" t="str">
        <f>IF(C261="","",IFERROR(VLOOKUP(C261,COA!A:B,2,FALSE),"-"))</f>
        <v/>
      </c>
      <c r="F261" s="20"/>
      <c r="G261" s="17"/>
    </row>
    <row r="262">
      <c r="A262" s="43"/>
      <c r="C262" s="17"/>
      <c r="D262" s="17" t="str">
        <f>IF(C262="","",IFERROR(VLOOKUP(C262,COA!A:B,2,FALSE),"-"))</f>
        <v/>
      </c>
      <c r="F262" s="20"/>
      <c r="G262" s="17"/>
    </row>
    <row r="263">
      <c r="A263" s="43"/>
      <c r="C263" s="17"/>
      <c r="D263" s="17" t="str">
        <f>IF(C263="","",IFERROR(VLOOKUP(C263,COA!A:B,2,FALSE),"-"))</f>
        <v/>
      </c>
      <c r="F263" s="20"/>
      <c r="G263" s="17"/>
    </row>
    <row r="264">
      <c r="A264" s="43"/>
      <c r="C264" s="17"/>
      <c r="D264" s="17" t="str">
        <f>IF(C264="","",IFERROR(VLOOKUP(C264,COA!A:B,2,FALSE),"-"))</f>
        <v/>
      </c>
      <c r="F264" s="20"/>
      <c r="G264" s="17"/>
    </row>
    <row r="265">
      <c r="A265" s="43"/>
      <c r="C265" s="17"/>
      <c r="D265" s="17" t="str">
        <f>IF(C265="","",IFERROR(VLOOKUP(C265,COA!A:B,2,FALSE),"-"))</f>
        <v/>
      </c>
      <c r="F265" s="20"/>
      <c r="G265" s="17"/>
    </row>
    <row r="266">
      <c r="A266" s="43"/>
      <c r="C266" s="17"/>
      <c r="D266" s="17" t="str">
        <f>IF(C266="","",IFERROR(VLOOKUP(C266,COA!A:B,2,FALSE),"-"))</f>
        <v/>
      </c>
      <c r="F266" s="20"/>
      <c r="G266" s="17"/>
    </row>
    <row r="267">
      <c r="A267" s="43"/>
      <c r="C267" s="17"/>
      <c r="D267" s="17" t="str">
        <f>IF(C267="","",IFERROR(VLOOKUP(C267,COA!A:B,2,FALSE),"-"))</f>
        <v/>
      </c>
      <c r="F267" s="20"/>
      <c r="G267" s="17"/>
    </row>
    <row r="268">
      <c r="A268" s="43"/>
      <c r="C268" s="17"/>
      <c r="D268" s="17" t="str">
        <f>IF(C268="","",IFERROR(VLOOKUP(C268,COA!A:B,2,FALSE),"-"))</f>
        <v/>
      </c>
      <c r="F268" s="20"/>
      <c r="G268" s="17"/>
    </row>
    <row r="269">
      <c r="A269" s="43"/>
      <c r="C269" s="17"/>
      <c r="D269" s="17" t="str">
        <f>IF(C269="","",IFERROR(VLOOKUP(C269,COA!A:B,2,FALSE),"-"))</f>
        <v/>
      </c>
      <c r="F269" s="20"/>
      <c r="G269" s="17"/>
    </row>
    <row r="270">
      <c r="A270" s="43"/>
      <c r="C270" s="17"/>
      <c r="D270" s="17" t="str">
        <f>IF(C270="","",IFERROR(VLOOKUP(C270,COA!A:B,2,FALSE),"-"))</f>
        <v/>
      </c>
      <c r="F270" s="20"/>
      <c r="G270" s="17"/>
    </row>
    <row r="271">
      <c r="A271" s="43"/>
      <c r="C271" s="17"/>
      <c r="D271" s="17" t="str">
        <f>IF(C271="","",IFERROR(VLOOKUP(C271,COA!A:B,2,FALSE),"-"))</f>
        <v/>
      </c>
      <c r="F271" s="20"/>
      <c r="G271" s="17"/>
    </row>
    <row r="272">
      <c r="A272" s="43"/>
      <c r="C272" s="17"/>
      <c r="D272" s="17" t="str">
        <f>IF(C272="","",IFERROR(VLOOKUP(C272,COA!A:B,2,FALSE),"-"))</f>
        <v/>
      </c>
      <c r="F272" s="20"/>
      <c r="G272" s="17"/>
    </row>
    <row r="273">
      <c r="A273" s="43"/>
      <c r="C273" s="17"/>
      <c r="D273" s="17" t="str">
        <f>IF(C273="","",IFERROR(VLOOKUP(C273,COA!A:B,2,FALSE),"-"))</f>
        <v/>
      </c>
      <c r="F273" s="20"/>
      <c r="G273" s="17"/>
    </row>
    <row r="274">
      <c r="A274" s="43"/>
      <c r="C274" s="17"/>
      <c r="D274" s="17" t="str">
        <f>IF(C274="","",IFERROR(VLOOKUP(C274,COA!A:B,2,FALSE),"-"))</f>
        <v/>
      </c>
      <c r="F274" s="20"/>
      <c r="G274" s="17"/>
    </row>
    <row r="275">
      <c r="A275" s="43"/>
      <c r="C275" s="17"/>
      <c r="D275" s="17" t="str">
        <f>IF(C275="","",IFERROR(VLOOKUP(C275,COA!A:B,2,FALSE),"-"))</f>
        <v/>
      </c>
      <c r="F275" s="20"/>
      <c r="G275" s="17"/>
    </row>
    <row r="276">
      <c r="A276" s="43"/>
      <c r="C276" s="17"/>
      <c r="D276" s="17" t="str">
        <f>IF(C276="","",IFERROR(VLOOKUP(C276,COA!A:B,2,FALSE),"-"))</f>
        <v/>
      </c>
      <c r="F276" s="20"/>
      <c r="G276" s="17"/>
    </row>
    <row r="277">
      <c r="A277" s="43"/>
      <c r="C277" s="17"/>
      <c r="D277" s="17" t="str">
        <f>IF(C277="","",IFERROR(VLOOKUP(C277,COA!A:B,2,FALSE),"-"))</f>
        <v/>
      </c>
      <c r="F277" s="20"/>
      <c r="G277" s="17"/>
    </row>
    <row r="278">
      <c r="A278" s="43"/>
      <c r="C278" s="17"/>
      <c r="D278" s="17" t="str">
        <f>IF(C278="","",IFERROR(VLOOKUP(C278,COA!A:B,2,FALSE),"-"))</f>
        <v/>
      </c>
      <c r="F278" s="20"/>
      <c r="G278" s="17"/>
    </row>
    <row r="279">
      <c r="A279" s="43"/>
      <c r="C279" s="17"/>
      <c r="D279" s="17" t="str">
        <f>IF(C279="","",IFERROR(VLOOKUP(C279,COA!A:B,2,FALSE),"-"))</f>
        <v/>
      </c>
      <c r="F279" s="20"/>
      <c r="G279" s="17"/>
    </row>
    <row r="280">
      <c r="A280" s="43"/>
      <c r="C280" s="17"/>
      <c r="D280" s="17" t="str">
        <f>IF(C280="","",IFERROR(VLOOKUP(C280,COA!A:B,2,FALSE),"-"))</f>
        <v/>
      </c>
      <c r="F280" s="20"/>
      <c r="G280" s="17"/>
    </row>
    <row r="281">
      <c r="A281" s="43"/>
      <c r="C281" s="17"/>
      <c r="D281" s="17" t="str">
        <f>IF(C281="","",IFERROR(VLOOKUP(C281,COA!A:B,2,FALSE),"-"))</f>
        <v/>
      </c>
      <c r="F281" s="20"/>
      <c r="G281" s="17"/>
    </row>
    <row r="282">
      <c r="A282" s="43"/>
      <c r="C282" s="17"/>
      <c r="D282" s="17" t="str">
        <f>IF(C282="","",IFERROR(VLOOKUP(C282,COA!A:B,2,FALSE),"-"))</f>
        <v/>
      </c>
      <c r="F282" s="20"/>
      <c r="G282" s="17"/>
    </row>
    <row r="283">
      <c r="A283" s="43"/>
      <c r="C283" s="17"/>
      <c r="D283" s="17" t="str">
        <f>IF(C283="","",IFERROR(VLOOKUP(C283,COA!A:B,2,FALSE),"-"))</f>
        <v/>
      </c>
      <c r="F283" s="20"/>
      <c r="G283" s="17"/>
    </row>
    <row r="284">
      <c r="A284" s="43"/>
      <c r="C284" s="17"/>
      <c r="D284" s="17" t="str">
        <f>IF(C284="","",IFERROR(VLOOKUP(C284,COA!A:B,2,FALSE),"-"))</f>
        <v/>
      </c>
      <c r="F284" s="20"/>
      <c r="G284" s="17"/>
    </row>
    <row r="285">
      <c r="A285" s="43"/>
      <c r="C285" s="17"/>
      <c r="D285" s="17" t="str">
        <f>IF(C285="","",IFERROR(VLOOKUP(C285,COA!A:B,2,FALSE),"-"))</f>
        <v/>
      </c>
      <c r="F285" s="20"/>
      <c r="G285" s="17"/>
    </row>
    <row r="286">
      <c r="A286" s="43"/>
      <c r="C286" s="17"/>
      <c r="D286" s="17" t="str">
        <f>IF(C286="","",IFERROR(VLOOKUP(C286,COA!A:B,2,FALSE),"-"))</f>
        <v/>
      </c>
      <c r="F286" s="20"/>
      <c r="G286" s="17"/>
    </row>
    <row r="287">
      <c r="A287" s="43"/>
      <c r="C287" s="17"/>
      <c r="D287" s="17" t="str">
        <f>IF(C287="","",IFERROR(VLOOKUP(C287,COA!A:B,2,FALSE),"-"))</f>
        <v/>
      </c>
      <c r="F287" s="20"/>
      <c r="G287" s="17"/>
    </row>
    <row r="288">
      <c r="A288" s="43"/>
      <c r="C288" s="17"/>
      <c r="D288" s="17" t="str">
        <f>IF(C288="","",IFERROR(VLOOKUP(C288,COA!A:B,2,FALSE),"-"))</f>
        <v/>
      </c>
      <c r="F288" s="20"/>
      <c r="G288" s="17"/>
    </row>
    <row r="289">
      <c r="A289" s="43"/>
      <c r="C289" s="17"/>
      <c r="D289" s="17" t="str">
        <f>IF(C289="","",IFERROR(VLOOKUP(C289,COA!A:B,2,FALSE),"-"))</f>
        <v/>
      </c>
      <c r="F289" s="20"/>
      <c r="G289" s="17"/>
    </row>
    <row r="290">
      <c r="A290" s="43"/>
      <c r="C290" s="17"/>
      <c r="D290" s="17" t="str">
        <f>IF(C290="","",IFERROR(VLOOKUP(C290,COA!A:B,2,FALSE),"-"))</f>
        <v/>
      </c>
      <c r="F290" s="20"/>
      <c r="G290" s="17"/>
    </row>
    <row r="291">
      <c r="A291" s="43"/>
      <c r="C291" s="17"/>
      <c r="D291" s="17" t="str">
        <f>IF(C291="","",IFERROR(VLOOKUP(C291,COA!A:B,2,FALSE),"-"))</f>
        <v/>
      </c>
      <c r="F291" s="20"/>
      <c r="G291" s="17"/>
    </row>
    <row r="292">
      <c r="A292" s="43"/>
      <c r="C292" s="17"/>
      <c r="D292" s="17" t="str">
        <f>IF(C292="","",IFERROR(VLOOKUP(C292,COA!A:B,2,FALSE),"-"))</f>
        <v/>
      </c>
      <c r="F292" s="20"/>
      <c r="G292" s="17"/>
    </row>
    <row r="293">
      <c r="A293" s="43"/>
      <c r="C293" s="17"/>
      <c r="D293" s="17" t="str">
        <f>IF(C293="","",IFERROR(VLOOKUP(C293,COA!A:B,2,FALSE),"-"))</f>
        <v/>
      </c>
      <c r="F293" s="20"/>
      <c r="G293" s="17"/>
    </row>
    <row r="294">
      <c r="A294" s="43"/>
      <c r="C294" s="17"/>
      <c r="D294" s="17" t="str">
        <f>IF(C294="","",IFERROR(VLOOKUP(C294,COA!A:B,2,FALSE),"-"))</f>
        <v/>
      </c>
      <c r="F294" s="20"/>
      <c r="G294" s="17"/>
    </row>
    <row r="295">
      <c r="A295" s="43"/>
      <c r="C295" s="17"/>
      <c r="D295" s="17" t="str">
        <f>IF(C295="","",IFERROR(VLOOKUP(C295,COA!A:B,2,FALSE),"-"))</f>
        <v/>
      </c>
      <c r="F295" s="20"/>
      <c r="G295" s="17"/>
    </row>
    <row r="296">
      <c r="A296" s="43"/>
      <c r="C296" s="17"/>
      <c r="D296" s="17" t="str">
        <f>IF(C296="","",IFERROR(VLOOKUP(C296,COA!A:B,2,FALSE),"-"))</f>
        <v/>
      </c>
      <c r="F296" s="20"/>
      <c r="G296" s="17"/>
    </row>
    <row r="297">
      <c r="A297" s="43"/>
      <c r="C297" s="17"/>
      <c r="D297" s="17" t="str">
        <f>IF(C297="","",IFERROR(VLOOKUP(C297,COA!A:B,2,FALSE),"-"))</f>
        <v/>
      </c>
      <c r="F297" s="20"/>
      <c r="G297" s="17"/>
    </row>
    <row r="298">
      <c r="A298" s="43"/>
      <c r="C298" s="17"/>
      <c r="D298" s="17" t="str">
        <f>IF(C298="","",IFERROR(VLOOKUP(C298,COA!A:B,2,FALSE),"-"))</f>
        <v/>
      </c>
      <c r="F298" s="20"/>
      <c r="G298" s="17"/>
    </row>
    <row r="299">
      <c r="A299" s="43"/>
      <c r="C299" s="17"/>
      <c r="D299" s="17" t="str">
        <f>IF(C299="","",IFERROR(VLOOKUP(C299,COA!A:B,2,FALSE),"-"))</f>
        <v/>
      </c>
      <c r="F299" s="20"/>
      <c r="G299" s="17"/>
    </row>
    <row r="300">
      <c r="A300" s="43"/>
      <c r="C300" s="17"/>
      <c r="D300" s="17" t="str">
        <f>IF(C300="","",IFERROR(VLOOKUP(C300,COA!A:B,2,FALSE),"-"))</f>
        <v/>
      </c>
      <c r="F300" s="20"/>
      <c r="G300" s="17"/>
    </row>
    <row r="301">
      <c r="A301" s="43"/>
      <c r="C301" s="17"/>
      <c r="D301" s="17" t="str">
        <f>IF(C301="","",IFERROR(VLOOKUP(C301,COA!A:B,2,FALSE),"-"))</f>
        <v/>
      </c>
      <c r="F301" s="20"/>
      <c r="G301" s="17"/>
    </row>
    <row r="302">
      <c r="A302" s="43"/>
      <c r="C302" s="17"/>
      <c r="D302" s="17" t="str">
        <f>IF(C302="","",IFERROR(VLOOKUP(C302,COA!A:B,2,FALSE),"-"))</f>
        <v/>
      </c>
      <c r="F302" s="20"/>
      <c r="G302" s="17"/>
    </row>
    <row r="303">
      <c r="A303" s="43"/>
      <c r="C303" s="17"/>
      <c r="D303" s="17" t="str">
        <f>IF(C303="","",IFERROR(VLOOKUP(C303,COA!A:B,2,FALSE),"-"))</f>
        <v/>
      </c>
      <c r="F303" s="20"/>
      <c r="G303" s="17"/>
    </row>
    <row r="304">
      <c r="A304" s="43"/>
      <c r="C304" s="17"/>
      <c r="D304" s="17" t="str">
        <f>IF(C304="","",IFERROR(VLOOKUP(C304,COA!A:B,2,FALSE),"-"))</f>
        <v/>
      </c>
      <c r="F304" s="20"/>
      <c r="G304" s="17"/>
    </row>
    <row r="305">
      <c r="A305" s="43"/>
      <c r="C305" s="17"/>
      <c r="D305" s="17" t="str">
        <f>IF(C305="","",IFERROR(VLOOKUP(C305,COA!A:B,2,FALSE),"-"))</f>
        <v/>
      </c>
      <c r="F305" s="20"/>
      <c r="G305" s="17"/>
    </row>
    <row r="306">
      <c r="A306" s="43"/>
      <c r="C306" s="17"/>
      <c r="D306" s="17" t="str">
        <f>IF(C306="","",IFERROR(VLOOKUP(C306,COA!A:B,2,FALSE),"-"))</f>
        <v/>
      </c>
      <c r="F306" s="20"/>
      <c r="G306" s="17"/>
    </row>
    <row r="307">
      <c r="A307" s="43"/>
      <c r="C307" s="17"/>
      <c r="D307" s="17" t="str">
        <f>IF(C307="","",IFERROR(VLOOKUP(C307,COA!A:B,2,FALSE),"-"))</f>
        <v/>
      </c>
      <c r="F307" s="20"/>
      <c r="G307" s="17"/>
    </row>
    <row r="308">
      <c r="A308" s="43"/>
      <c r="C308" s="17"/>
      <c r="D308" s="17" t="str">
        <f>IF(C308="","",IFERROR(VLOOKUP(C308,COA!A:B,2,FALSE),"-"))</f>
        <v/>
      </c>
      <c r="F308" s="20"/>
      <c r="G308" s="17"/>
    </row>
    <row r="309">
      <c r="A309" s="43"/>
      <c r="C309" s="17"/>
      <c r="D309" s="17" t="str">
        <f>IF(C309="","",IFERROR(VLOOKUP(C309,COA!A:B,2,FALSE),"-"))</f>
        <v/>
      </c>
      <c r="F309" s="20"/>
      <c r="G309" s="17"/>
    </row>
    <row r="310">
      <c r="A310" s="43"/>
      <c r="C310" s="17"/>
      <c r="D310" s="17" t="str">
        <f>IF(C310="","",IFERROR(VLOOKUP(C310,COA!A:B,2,FALSE),"-"))</f>
        <v/>
      </c>
      <c r="F310" s="20"/>
      <c r="G310" s="17"/>
    </row>
    <row r="311">
      <c r="A311" s="43"/>
      <c r="C311" s="17"/>
      <c r="D311" s="17" t="str">
        <f>IF(C311="","",IFERROR(VLOOKUP(C311,COA!A:B,2,FALSE),"-"))</f>
        <v/>
      </c>
      <c r="F311" s="20"/>
      <c r="G311" s="17"/>
    </row>
    <row r="312">
      <c r="A312" s="43"/>
      <c r="C312" s="17"/>
      <c r="D312" s="17" t="str">
        <f>IF(C312="","",IFERROR(VLOOKUP(C312,COA!A:B,2,FALSE),"-"))</f>
        <v/>
      </c>
      <c r="F312" s="20"/>
      <c r="G312" s="17"/>
    </row>
    <row r="313">
      <c r="A313" s="43"/>
      <c r="C313" s="17"/>
      <c r="D313" s="17" t="str">
        <f>IF(C313="","",IFERROR(VLOOKUP(C313,COA!A:B,2,FALSE),"-"))</f>
        <v/>
      </c>
      <c r="F313" s="20"/>
      <c r="G313" s="17"/>
    </row>
    <row r="314">
      <c r="A314" s="43"/>
      <c r="C314" s="17"/>
      <c r="D314" s="17" t="str">
        <f>IF(C314="","",IFERROR(VLOOKUP(C314,COA!A:B,2,FALSE),"-"))</f>
        <v/>
      </c>
      <c r="F314" s="20"/>
      <c r="G314" s="17"/>
    </row>
    <row r="315">
      <c r="A315" s="43"/>
      <c r="C315" s="17"/>
      <c r="D315" s="17" t="str">
        <f>IF(C315="","",IFERROR(VLOOKUP(C315,COA!A:B,2,FALSE),"-"))</f>
        <v/>
      </c>
      <c r="F315" s="20"/>
      <c r="G315" s="17"/>
    </row>
    <row r="316">
      <c r="A316" s="43"/>
      <c r="C316" s="17"/>
      <c r="D316" s="17" t="str">
        <f>IF(C316="","",IFERROR(VLOOKUP(C316,COA!A:B,2,FALSE),"-"))</f>
        <v/>
      </c>
      <c r="F316" s="20"/>
      <c r="G316" s="17"/>
    </row>
    <row r="317">
      <c r="A317" s="43"/>
      <c r="C317" s="17"/>
      <c r="D317" s="17" t="str">
        <f>IF(C317="","",IFERROR(VLOOKUP(C317,COA!A:B,2,FALSE),"-"))</f>
        <v/>
      </c>
      <c r="F317" s="20"/>
      <c r="G317" s="17"/>
    </row>
    <row r="318">
      <c r="A318" s="43"/>
      <c r="C318" s="17"/>
      <c r="D318" s="17" t="str">
        <f>IF(C318="","",IFERROR(VLOOKUP(C318,COA!A:B,2,FALSE),"-"))</f>
        <v/>
      </c>
      <c r="F318" s="20"/>
      <c r="G318" s="17"/>
    </row>
    <row r="319">
      <c r="A319" s="43"/>
      <c r="C319" s="17"/>
      <c r="D319" s="17" t="str">
        <f>IF(C319="","",IFERROR(VLOOKUP(C319,COA!A:B,2,FALSE),"-"))</f>
        <v/>
      </c>
      <c r="F319" s="20"/>
      <c r="G319" s="17"/>
    </row>
    <row r="320">
      <c r="A320" s="43"/>
      <c r="C320" s="17"/>
      <c r="D320" s="17" t="str">
        <f>IF(C320="","",IFERROR(VLOOKUP(C320,COA!A:B,2,FALSE),"-"))</f>
        <v/>
      </c>
      <c r="F320" s="20"/>
      <c r="G320" s="17"/>
    </row>
    <row r="321">
      <c r="A321" s="43"/>
      <c r="C321" s="17"/>
      <c r="D321" s="17" t="str">
        <f>IF(C321="","",IFERROR(VLOOKUP(C321,COA!A:B,2,FALSE),"-"))</f>
        <v/>
      </c>
      <c r="F321" s="20"/>
      <c r="G321" s="17"/>
    </row>
    <row r="322">
      <c r="A322" s="43"/>
      <c r="C322" s="17"/>
      <c r="D322" s="17" t="str">
        <f>IF(C322="","",IFERROR(VLOOKUP(C322,COA!A:B,2,FALSE),"-"))</f>
        <v/>
      </c>
      <c r="F322" s="20"/>
      <c r="G322" s="17"/>
    </row>
    <row r="323">
      <c r="A323" s="43"/>
      <c r="C323" s="17"/>
      <c r="D323" s="17" t="str">
        <f>IF(C323="","",IFERROR(VLOOKUP(C323,COA!A:B,2,FALSE),"-"))</f>
        <v/>
      </c>
      <c r="F323" s="20"/>
      <c r="G323" s="17"/>
    </row>
    <row r="324">
      <c r="A324" s="43"/>
      <c r="C324" s="17"/>
      <c r="D324" s="17" t="str">
        <f>IF(C324="","",IFERROR(VLOOKUP(C324,COA!A:B,2,FALSE),"-"))</f>
        <v/>
      </c>
      <c r="F324" s="20"/>
      <c r="G324" s="17"/>
    </row>
    <row r="325">
      <c r="A325" s="43"/>
      <c r="C325" s="17"/>
      <c r="D325" s="17" t="str">
        <f>IF(C325="","",IFERROR(VLOOKUP(C325,COA!A:B,2,FALSE),"-"))</f>
        <v/>
      </c>
      <c r="F325" s="20"/>
      <c r="G325" s="17"/>
    </row>
    <row r="326">
      <c r="A326" s="43"/>
      <c r="C326" s="17"/>
      <c r="D326" s="17" t="str">
        <f>IF(C326="","",IFERROR(VLOOKUP(C326,COA!A:B,2,FALSE),"-"))</f>
        <v/>
      </c>
      <c r="F326" s="20"/>
      <c r="G326" s="17"/>
    </row>
    <row r="327">
      <c r="A327" s="43"/>
      <c r="C327" s="17"/>
      <c r="D327" s="17" t="str">
        <f>IF(C327="","",IFERROR(VLOOKUP(C327,COA!A:B,2,FALSE),"-"))</f>
        <v/>
      </c>
      <c r="F327" s="20"/>
      <c r="G327" s="17"/>
    </row>
    <row r="328">
      <c r="A328" s="43"/>
      <c r="C328" s="17"/>
      <c r="D328" s="17" t="str">
        <f>IF(C328="","",IFERROR(VLOOKUP(C328,COA!A:B,2,FALSE),"-"))</f>
        <v/>
      </c>
      <c r="F328" s="20"/>
      <c r="G328" s="17"/>
    </row>
    <row r="329">
      <c r="A329" s="43"/>
      <c r="C329" s="17"/>
      <c r="D329" s="17" t="str">
        <f>IF(C329="","",IFERROR(VLOOKUP(C329,COA!A:B,2,FALSE),"-"))</f>
        <v/>
      </c>
      <c r="F329" s="20"/>
      <c r="G329" s="17"/>
    </row>
    <row r="330">
      <c r="A330" s="43"/>
      <c r="C330" s="17"/>
      <c r="D330" s="17" t="str">
        <f>IF(C330="","",IFERROR(VLOOKUP(C330,COA!A:B,2,FALSE),"-"))</f>
        <v/>
      </c>
      <c r="F330" s="20"/>
      <c r="G330" s="17"/>
    </row>
    <row r="331">
      <c r="A331" s="43"/>
      <c r="C331" s="17"/>
      <c r="D331" s="17" t="str">
        <f>IF(C331="","",IFERROR(VLOOKUP(C331,COA!A:B,2,FALSE),"-"))</f>
        <v/>
      </c>
      <c r="F331" s="20"/>
      <c r="G331" s="17"/>
    </row>
    <row r="332">
      <c r="A332" s="43"/>
      <c r="C332" s="17"/>
      <c r="D332" s="17" t="str">
        <f>IF(C332="","",IFERROR(VLOOKUP(C332,COA!A:B,2,FALSE),"-"))</f>
        <v/>
      </c>
      <c r="F332" s="20"/>
      <c r="G332" s="17"/>
    </row>
    <row r="333">
      <c r="A333" s="43"/>
      <c r="C333" s="17"/>
      <c r="D333" s="17" t="str">
        <f>IF(C333="","",IFERROR(VLOOKUP(C333,COA!A:B,2,FALSE),"-"))</f>
        <v/>
      </c>
      <c r="F333" s="20"/>
      <c r="G333" s="17"/>
    </row>
    <row r="334">
      <c r="A334" s="43"/>
      <c r="C334" s="17"/>
      <c r="D334" s="17" t="str">
        <f>IF(C334="","",IFERROR(VLOOKUP(C334,COA!A:B,2,FALSE),"-"))</f>
        <v/>
      </c>
      <c r="F334" s="20"/>
      <c r="G334" s="17"/>
    </row>
    <row r="335">
      <c r="A335" s="43"/>
      <c r="C335" s="17"/>
      <c r="D335" s="17" t="str">
        <f>IF(C335="","",IFERROR(VLOOKUP(C335,COA!A:B,2,FALSE),"-"))</f>
        <v/>
      </c>
      <c r="F335" s="20"/>
      <c r="G335" s="17"/>
    </row>
    <row r="336">
      <c r="A336" s="43"/>
      <c r="C336" s="17"/>
      <c r="D336" s="17" t="str">
        <f>IF(C336="","",IFERROR(VLOOKUP(C336,COA!A:B,2,FALSE),"-"))</f>
        <v/>
      </c>
      <c r="F336" s="20"/>
      <c r="G336" s="17"/>
    </row>
    <row r="337">
      <c r="A337" s="43"/>
      <c r="C337" s="17"/>
      <c r="D337" s="17" t="str">
        <f>IF(C337="","",IFERROR(VLOOKUP(C337,COA!A:B,2,FALSE),"-"))</f>
        <v/>
      </c>
      <c r="F337" s="20"/>
      <c r="G337" s="17"/>
    </row>
    <row r="338">
      <c r="A338" s="43"/>
      <c r="C338" s="17"/>
      <c r="D338" s="17" t="str">
        <f>IF(C338="","",IFERROR(VLOOKUP(C338,COA!A:B,2,FALSE),"-"))</f>
        <v/>
      </c>
      <c r="F338" s="20"/>
      <c r="G338" s="17"/>
    </row>
    <row r="339">
      <c r="A339" s="43"/>
      <c r="C339" s="17"/>
      <c r="D339" s="17" t="str">
        <f>IF(C339="","",IFERROR(VLOOKUP(C339,COA!A:B,2,FALSE),"-"))</f>
        <v/>
      </c>
      <c r="F339" s="20"/>
      <c r="G339" s="17"/>
    </row>
    <row r="340">
      <c r="A340" s="43"/>
      <c r="C340" s="17"/>
      <c r="D340" s="17" t="str">
        <f>IF(C340="","",IFERROR(VLOOKUP(C340,COA!A:B,2,FALSE),"-"))</f>
        <v/>
      </c>
      <c r="F340" s="20"/>
      <c r="G340" s="17"/>
    </row>
    <row r="341">
      <c r="A341" s="43"/>
      <c r="C341" s="17"/>
      <c r="D341" s="17" t="str">
        <f>IF(C341="","",IFERROR(VLOOKUP(C341,COA!A:B,2,FALSE),"-"))</f>
        <v/>
      </c>
      <c r="F341" s="20"/>
      <c r="G341" s="17"/>
    </row>
    <row r="342">
      <c r="A342" s="43"/>
      <c r="C342" s="17"/>
      <c r="D342" s="17" t="str">
        <f>IF(C342="","",IFERROR(VLOOKUP(C342,COA!A:B,2,FALSE),"-"))</f>
        <v/>
      </c>
      <c r="F342" s="20"/>
      <c r="G342" s="17"/>
    </row>
    <row r="343">
      <c r="A343" s="43"/>
      <c r="C343" s="17"/>
      <c r="D343" s="17" t="str">
        <f>IF(C343="","",IFERROR(VLOOKUP(C343,COA!A:B,2,FALSE),"-"))</f>
        <v/>
      </c>
      <c r="F343" s="20"/>
      <c r="G343" s="17"/>
    </row>
    <row r="344">
      <c r="A344" s="43"/>
      <c r="C344" s="17"/>
      <c r="D344" s="17" t="str">
        <f>IF(C344="","",IFERROR(VLOOKUP(C344,COA!A:B,2,FALSE),"-"))</f>
        <v/>
      </c>
      <c r="F344" s="20"/>
      <c r="G344" s="17"/>
    </row>
    <row r="345">
      <c r="A345" s="43"/>
      <c r="C345" s="17"/>
      <c r="D345" s="17" t="str">
        <f>IF(C345="","",IFERROR(VLOOKUP(C345,COA!A:B,2,FALSE),"-"))</f>
        <v/>
      </c>
      <c r="F345" s="20"/>
      <c r="G345" s="17"/>
    </row>
    <row r="346">
      <c r="A346" s="43"/>
      <c r="C346" s="17"/>
      <c r="D346" s="17" t="str">
        <f>IF(C346="","",IFERROR(VLOOKUP(C346,COA!A:B,2,FALSE),"-"))</f>
        <v/>
      </c>
      <c r="F346" s="20"/>
      <c r="G346" s="17"/>
    </row>
    <row r="347">
      <c r="A347" s="43"/>
      <c r="C347" s="17"/>
      <c r="D347" s="17" t="str">
        <f>IF(C347="","",IFERROR(VLOOKUP(C347,COA!A:B,2,FALSE),"-"))</f>
        <v/>
      </c>
      <c r="F347" s="20"/>
      <c r="G347" s="17"/>
    </row>
    <row r="348">
      <c r="A348" s="43"/>
      <c r="C348" s="17"/>
      <c r="D348" s="17" t="str">
        <f>IF(C348="","",IFERROR(VLOOKUP(C348,COA!A:B,2,FALSE),"-"))</f>
        <v/>
      </c>
      <c r="F348" s="20"/>
      <c r="G348" s="17"/>
    </row>
    <row r="349">
      <c r="A349" s="43"/>
      <c r="C349" s="17"/>
      <c r="D349" s="17" t="str">
        <f>IF(C349="","",IFERROR(VLOOKUP(C349,COA!A:B,2,FALSE),"-"))</f>
        <v/>
      </c>
      <c r="F349" s="20"/>
      <c r="G349" s="17"/>
    </row>
    <row r="350">
      <c r="A350" s="43"/>
      <c r="C350" s="17"/>
      <c r="D350" s="17" t="str">
        <f>IF(C350="","",IFERROR(VLOOKUP(C350,COA!A:B,2,FALSE),"-"))</f>
        <v/>
      </c>
      <c r="F350" s="20"/>
      <c r="G350" s="17"/>
    </row>
    <row r="351">
      <c r="A351" s="43"/>
      <c r="C351" s="17"/>
      <c r="D351" s="17" t="str">
        <f>IF(C351="","",IFERROR(VLOOKUP(C351,COA!A:B,2,FALSE),"-"))</f>
        <v/>
      </c>
      <c r="F351" s="20"/>
      <c r="G351" s="17"/>
    </row>
    <row r="352">
      <c r="A352" s="43"/>
      <c r="C352" s="17"/>
      <c r="D352" s="17" t="str">
        <f>IF(C352="","",IFERROR(VLOOKUP(C352,COA!A:B,2,FALSE),"-"))</f>
        <v/>
      </c>
      <c r="F352" s="20"/>
      <c r="G352" s="17"/>
    </row>
    <row r="353">
      <c r="A353" s="43"/>
      <c r="C353" s="17"/>
      <c r="D353" s="17" t="str">
        <f>IF(C353="","",IFERROR(VLOOKUP(C353,COA!A:B,2,FALSE),"-"))</f>
        <v/>
      </c>
      <c r="F353" s="20"/>
      <c r="G353" s="17"/>
    </row>
    <row r="354">
      <c r="A354" s="43"/>
      <c r="C354" s="17"/>
      <c r="D354" s="17" t="str">
        <f>IF(C354="","",IFERROR(VLOOKUP(C354,COA!A:B,2,FALSE),"-"))</f>
        <v/>
      </c>
      <c r="F354" s="20"/>
      <c r="G354" s="17"/>
    </row>
    <row r="355">
      <c r="A355" s="43"/>
      <c r="C355" s="17"/>
      <c r="D355" s="17" t="str">
        <f>IF(C355="","",IFERROR(VLOOKUP(C355,COA!A:B,2,FALSE),"-"))</f>
        <v/>
      </c>
      <c r="F355" s="20"/>
      <c r="G355" s="17"/>
    </row>
    <row r="356">
      <c r="A356" s="43"/>
      <c r="C356" s="17"/>
      <c r="D356" s="17" t="str">
        <f>IF(C356="","",IFERROR(VLOOKUP(C356,COA!A:B,2,FALSE),"-"))</f>
        <v/>
      </c>
      <c r="F356" s="20"/>
      <c r="G356" s="17"/>
    </row>
    <row r="357">
      <c r="A357" s="43"/>
      <c r="C357" s="17"/>
      <c r="D357" s="17" t="str">
        <f>IF(C357="","",IFERROR(VLOOKUP(C357,COA!A:B,2,FALSE),"-"))</f>
        <v/>
      </c>
      <c r="F357" s="20"/>
      <c r="G357" s="17"/>
    </row>
    <row r="358">
      <c r="A358" s="43"/>
      <c r="C358" s="17"/>
      <c r="D358" s="17" t="str">
        <f>IF(C358="","",IFERROR(VLOOKUP(C358,COA!A:B,2,FALSE),"-"))</f>
        <v/>
      </c>
      <c r="F358" s="20"/>
      <c r="G358" s="17"/>
    </row>
    <row r="359">
      <c r="A359" s="43"/>
      <c r="C359" s="17"/>
      <c r="D359" s="17" t="str">
        <f>IF(C359="","",IFERROR(VLOOKUP(C359,COA!A:B,2,FALSE),"-"))</f>
        <v/>
      </c>
      <c r="F359" s="20"/>
      <c r="G359" s="17"/>
    </row>
    <row r="360">
      <c r="A360" s="43"/>
      <c r="C360" s="17"/>
      <c r="D360" s="17" t="str">
        <f>IF(C360="","",IFERROR(VLOOKUP(C360,COA!A:B,2,FALSE),"-"))</f>
        <v/>
      </c>
      <c r="F360" s="20"/>
      <c r="G360" s="17"/>
    </row>
    <row r="361">
      <c r="A361" s="43"/>
      <c r="C361" s="17"/>
      <c r="D361" s="17" t="str">
        <f>IF(C361="","",IFERROR(VLOOKUP(C361,COA!A:B,2,FALSE),"-"))</f>
        <v/>
      </c>
      <c r="F361" s="20"/>
      <c r="G361" s="17"/>
    </row>
    <row r="362">
      <c r="A362" s="43"/>
      <c r="C362" s="17"/>
      <c r="D362" s="17" t="str">
        <f>IF(C362="","",IFERROR(VLOOKUP(C362,COA!A:B,2,FALSE),"-"))</f>
        <v/>
      </c>
      <c r="F362" s="20"/>
      <c r="G362" s="17"/>
    </row>
    <row r="363">
      <c r="A363" s="43"/>
      <c r="C363" s="17"/>
      <c r="D363" s="17" t="str">
        <f>IF(C363="","",IFERROR(VLOOKUP(C363,COA!A:B,2,FALSE),"-"))</f>
        <v/>
      </c>
      <c r="F363" s="20"/>
      <c r="G363" s="17"/>
    </row>
    <row r="364">
      <c r="A364" s="43"/>
      <c r="C364" s="17"/>
      <c r="D364" s="17" t="str">
        <f>IF(C364="","",IFERROR(VLOOKUP(C364,COA!A:B,2,FALSE),"-"))</f>
        <v/>
      </c>
      <c r="F364" s="20"/>
      <c r="G364" s="17"/>
    </row>
    <row r="365">
      <c r="A365" s="43"/>
      <c r="C365" s="17"/>
      <c r="D365" s="17" t="str">
        <f>IF(C365="","",IFERROR(VLOOKUP(C365,COA!A:B,2,FALSE),"-"))</f>
        <v/>
      </c>
      <c r="F365" s="20"/>
      <c r="G365" s="17"/>
    </row>
    <row r="366">
      <c r="A366" s="43"/>
      <c r="C366" s="17"/>
      <c r="D366" s="17" t="str">
        <f>IF(C366="","",IFERROR(VLOOKUP(C366,COA!A:B,2,FALSE),"-"))</f>
        <v/>
      </c>
      <c r="F366" s="20"/>
      <c r="G366" s="17"/>
    </row>
    <row r="367">
      <c r="A367" s="43"/>
      <c r="C367" s="17"/>
      <c r="D367" s="17" t="str">
        <f>IF(C367="","",IFERROR(VLOOKUP(C367,COA!A:B,2,FALSE),"-"))</f>
        <v/>
      </c>
      <c r="F367" s="20"/>
      <c r="G367" s="17"/>
    </row>
    <row r="368">
      <c r="A368" s="43"/>
      <c r="C368" s="17"/>
      <c r="D368" s="17" t="str">
        <f>IF(C368="","",IFERROR(VLOOKUP(C368,COA!A:B,2,FALSE),"-"))</f>
        <v/>
      </c>
      <c r="F368" s="20"/>
      <c r="G368" s="17"/>
    </row>
    <row r="369">
      <c r="A369" s="43"/>
      <c r="C369" s="17"/>
      <c r="D369" s="17" t="str">
        <f>IF(C369="","",IFERROR(VLOOKUP(C369,COA!A:B,2,FALSE),"-"))</f>
        <v/>
      </c>
      <c r="F369" s="20"/>
      <c r="G369" s="17"/>
    </row>
    <row r="370">
      <c r="A370" s="43"/>
      <c r="C370" s="17"/>
      <c r="D370" s="17" t="str">
        <f>IF(C370="","",IFERROR(VLOOKUP(C370,COA!A:B,2,FALSE),"-"))</f>
        <v/>
      </c>
      <c r="F370" s="20"/>
      <c r="G370" s="17"/>
    </row>
    <row r="371">
      <c r="A371" s="43"/>
      <c r="C371" s="17"/>
      <c r="D371" s="17" t="str">
        <f>IF(C371="","",IFERROR(VLOOKUP(C371,COA!A:B,2,FALSE),"-"))</f>
        <v/>
      </c>
      <c r="F371" s="20"/>
      <c r="G371" s="17"/>
    </row>
    <row r="372">
      <c r="A372" s="43"/>
      <c r="C372" s="17"/>
      <c r="D372" s="17" t="str">
        <f>IF(C372="","",IFERROR(VLOOKUP(C372,COA!A:B,2,FALSE),"-"))</f>
        <v/>
      </c>
      <c r="F372" s="20"/>
      <c r="G372" s="17"/>
    </row>
    <row r="373">
      <c r="A373" s="43"/>
      <c r="C373" s="17"/>
      <c r="D373" s="17" t="str">
        <f>IF(C373="","",IFERROR(VLOOKUP(C373,COA!A:B,2,FALSE),"-"))</f>
        <v/>
      </c>
      <c r="F373" s="20"/>
      <c r="G373" s="17"/>
    </row>
    <row r="374">
      <c r="A374" s="43"/>
      <c r="C374" s="17"/>
      <c r="D374" s="17" t="str">
        <f>IF(C374="","",IFERROR(VLOOKUP(C374,COA!A:B,2,FALSE),"-"))</f>
        <v/>
      </c>
      <c r="F374" s="20"/>
      <c r="G374" s="17"/>
    </row>
    <row r="375">
      <c r="A375" s="43"/>
      <c r="C375" s="17"/>
      <c r="D375" s="17" t="str">
        <f>IF(C375="","",IFERROR(VLOOKUP(C375,COA!A:B,2,FALSE),"-"))</f>
        <v/>
      </c>
      <c r="F375" s="20"/>
      <c r="G375" s="17"/>
    </row>
    <row r="376">
      <c r="A376" s="43"/>
      <c r="C376" s="17"/>
      <c r="D376" s="17" t="str">
        <f>IF(C376="","",IFERROR(VLOOKUP(C376,COA!A:B,2,FALSE),"-"))</f>
        <v/>
      </c>
      <c r="F376" s="20"/>
      <c r="G376" s="17"/>
    </row>
    <row r="377">
      <c r="A377" s="43"/>
      <c r="C377" s="17"/>
      <c r="D377" s="17" t="str">
        <f>IF(C377="","",IFERROR(VLOOKUP(C377,COA!A:B,2,FALSE),"-"))</f>
        <v/>
      </c>
      <c r="F377" s="20"/>
      <c r="G377" s="17"/>
    </row>
    <row r="378">
      <c r="A378" s="43"/>
      <c r="C378" s="17"/>
      <c r="D378" s="17" t="str">
        <f>IF(C378="","",IFERROR(VLOOKUP(C378,COA!A:B,2,FALSE),"-"))</f>
        <v/>
      </c>
      <c r="F378" s="20"/>
      <c r="G378" s="17"/>
    </row>
    <row r="379">
      <c r="A379" s="43"/>
      <c r="C379" s="17"/>
      <c r="D379" s="17" t="str">
        <f>IF(C379="","",IFERROR(VLOOKUP(C379,COA!A:B,2,FALSE),"-"))</f>
        <v/>
      </c>
      <c r="F379" s="20"/>
      <c r="G379" s="17"/>
    </row>
    <row r="380">
      <c r="A380" s="43"/>
      <c r="C380" s="17"/>
      <c r="D380" s="17" t="str">
        <f>IF(C380="","",IFERROR(VLOOKUP(C380,COA!A:B,2,FALSE),"-"))</f>
        <v/>
      </c>
      <c r="F380" s="20"/>
      <c r="G380" s="17"/>
    </row>
    <row r="381">
      <c r="A381" s="43"/>
      <c r="C381" s="17"/>
      <c r="D381" s="17" t="str">
        <f>IF(C381="","",IFERROR(VLOOKUP(C381,COA!A:B,2,FALSE),"-"))</f>
        <v/>
      </c>
      <c r="F381" s="20"/>
      <c r="G381" s="17"/>
    </row>
    <row r="382">
      <c r="A382" s="43"/>
      <c r="C382" s="17"/>
      <c r="D382" s="17" t="str">
        <f>IF(C382="","",IFERROR(VLOOKUP(C382,COA!A:B,2,FALSE),"-"))</f>
        <v/>
      </c>
      <c r="F382" s="20"/>
      <c r="G382" s="17"/>
    </row>
    <row r="383">
      <c r="A383" s="43"/>
      <c r="C383" s="17"/>
      <c r="D383" s="17" t="str">
        <f>IF(C383="","",IFERROR(VLOOKUP(C383,COA!A:B,2,FALSE),"-"))</f>
        <v/>
      </c>
      <c r="F383" s="20"/>
      <c r="G383" s="17"/>
    </row>
    <row r="384">
      <c r="A384" s="43"/>
      <c r="C384" s="17"/>
      <c r="D384" s="17" t="str">
        <f>IF(C384="","",IFERROR(VLOOKUP(C384,COA!A:B,2,FALSE),"-"))</f>
        <v/>
      </c>
      <c r="F384" s="20"/>
      <c r="G384" s="17"/>
    </row>
    <row r="385">
      <c r="A385" s="43"/>
      <c r="C385" s="17"/>
      <c r="D385" s="17" t="str">
        <f>IF(C385="","",IFERROR(VLOOKUP(C385,COA!A:B,2,FALSE),"-"))</f>
        <v/>
      </c>
      <c r="F385" s="20"/>
      <c r="G385" s="17"/>
    </row>
    <row r="386">
      <c r="A386" s="43"/>
      <c r="C386" s="17"/>
      <c r="D386" s="17" t="str">
        <f>IF(C386="","",IFERROR(VLOOKUP(C386,COA!A:B,2,FALSE),"-"))</f>
        <v/>
      </c>
      <c r="F386" s="20"/>
      <c r="G386" s="17"/>
    </row>
    <row r="387">
      <c r="A387" s="43"/>
      <c r="C387" s="17"/>
      <c r="D387" s="17" t="str">
        <f>IF(C387="","",IFERROR(VLOOKUP(C387,COA!A:B,2,FALSE),"-"))</f>
        <v/>
      </c>
      <c r="F387" s="20"/>
      <c r="G387" s="17"/>
    </row>
    <row r="388">
      <c r="A388" s="43"/>
      <c r="C388" s="17"/>
      <c r="D388" s="17" t="str">
        <f>IF(C388="","",IFERROR(VLOOKUP(C388,COA!A:B,2,FALSE),"-"))</f>
        <v/>
      </c>
      <c r="F388" s="20"/>
      <c r="G388" s="17"/>
    </row>
    <row r="389">
      <c r="A389" s="43"/>
      <c r="C389" s="17"/>
      <c r="D389" s="17" t="str">
        <f>IF(C389="","",IFERROR(VLOOKUP(C389,COA!A:B,2,FALSE),"-"))</f>
        <v/>
      </c>
      <c r="F389" s="20"/>
      <c r="G389" s="17"/>
    </row>
    <row r="390">
      <c r="A390" s="43"/>
      <c r="C390" s="17"/>
      <c r="D390" s="17" t="str">
        <f>IF(C390="","",IFERROR(VLOOKUP(C390,COA!A:B,2,FALSE),"-"))</f>
        <v/>
      </c>
      <c r="F390" s="20"/>
      <c r="G390" s="17"/>
    </row>
    <row r="391">
      <c r="A391" s="43"/>
      <c r="C391" s="17"/>
      <c r="D391" s="17" t="str">
        <f>IF(C391="","",IFERROR(VLOOKUP(C391,COA!A:B,2,FALSE),"-"))</f>
        <v/>
      </c>
      <c r="F391" s="20"/>
      <c r="G391" s="17"/>
    </row>
    <row r="392">
      <c r="A392" s="43"/>
      <c r="C392" s="17"/>
      <c r="D392" s="17" t="str">
        <f>IF(C392="","",IFERROR(VLOOKUP(C392,COA!A:B,2,FALSE),"-"))</f>
        <v/>
      </c>
      <c r="F392" s="20"/>
      <c r="G392" s="17"/>
    </row>
    <row r="393">
      <c r="A393" s="43"/>
      <c r="C393" s="17"/>
      <c r="D393" s="17" t="str">
        <f>IF(C393="","",IFERROR(VLOOKUP(C393,COA!A:B,2,FALSE),"-"))</f>
        <v/>
      </c>
      <c r="F393" s="20"/>
      <c r="G393" s="17"/>
    </row>
    <row r="394">
      <c r="A394" s="43"/>
      <c r="C394" s="17"/>
      <c r="D394" s="17" t="str">
        <f>IF(C394="","",IFERROR(VLOOKUP(C394,COA!A:B,2,FALSE),"-"))</f>
        <v/>
      </c>
      <c r="F394" s="20"/>
      <c r="G394" s="17"/>
    </row>
    <row r="395">
      <c r="A395" s="43"/>
      <c r="C395" s="17"/>
      <c r="D395" s="17" t="str">
        <f>IF(C395="","",IFERROR(VLOOKUP(C395,COA!A:B,2,FALSE),"-"))</f>
        <v/>
      </c>
      <c r="F395" s="20"/>
      <c r="G395" s="17"/>
    </row>
    <row r="396">
      <c r="A396" s="43"/>
      <c r="C396" s="17"/>
      <c r="D396" s="17" t="str">
        <f>IF(C396="","",IFERROR(VLOOKUP(C396,COA!A:B,2,FALSE),"-"))</f>
        <v/>
      </c>
      <c r="F396" s="20"/>
      <c r="G396" s="17"/>
    </row>
    <row r="397">
      <c r="A397" s="43"/>
      <c r="C397" s="17"/>
      <c r="D397" s="17" t="str">
        <f>IF(C397="","",IFERROR(VLOOKUP(C397,COA!A:B,2,FALSE),"-"))</f>
        <v/>
      </c>
      <c r="F397" s="20"/>
      <c r="G397" s="17"/>
    </row>
    <row r="398">
      <c r="A398" s="43"/>
      <c r="C398" s="17"/>
      <c r="D398" s="17" t="str">
        <f>IF(C398="","",IFERROR(VLOOKUP(C398,COA!A:B,2,FALSE),"-"))</f>
        <v/>
      </c>
      <c r="F398" s="20"/>
      <c r="G398" s="17"/>
    </row>
    <row r="399">
      <c r="A399" s="43"/>
      <c r="C399" s="17"/>
      <c r="D399" s="17" t="str">
        <f>IF(C399="","",IFERROR(VLOOKUP(C399,COA!A:B,2,FALSE),"-"))</f>
        <v/>
      </c>
      <c r="F399" s="20"/>
      <c r="G399" s="17"/>
    </row>
    <row r="400">
      <c r="A400" s="43"/>
      <c r="C400" s="17"/>
      <c r="D400" s="17" t="str">
        <f>IF(C400="","",IFERROR(VLOOKUP(C400,COA!A:B,2,FALSE),"-"))</f>
        <v/>
      </c>
      <c r="F400" s="20"/>
      <c r="G400" s="17"/>
    </row>
    <row r="401">
      <c r="A401" s="43"/>
      <c r="C401" s="17"/>
      <c r="D401" s="17" t="str">
        <f>IF(C401="","",IFERROR(VLOOKUP(C401,COA!A:B,2,FALSE),"-"))</f>
        <v/>
      </c>
      <c r="F401" s="20"/>
      <c r="G401" s="17"/>
    </row>
    <row r="402">
      <c r="A402" s="43"/>
      <c r="C402" s="17"/>
      <c r="D402" s="17" t="str">
        <f>IF(C402="","",IFERROR(VLOOKUP(C402,COA!A:B,2,FALSE),"-"))</f>
        <v/>
      </c>
      <c r="F402" s="20"/>
      <c r="G402" s="17"/>
    </row>
    <row r="403">
      <c r="A403" s="43"/>
      <c r="C403" s="17"/>
      <c r="D403" s="17" t="str">
        <f>IF(C403="","",IFERROR(VLOOKUP(C403,COA!A:B,2,FALSE),"-"))</f>
        <v/>
      </c>
      <c r="F403" s="20"/>
      <c r="G403" s="17"/>
    </row>
    <row r="404">
      <c r="A404" s="43"/>
      <c r="C404" s="17"/>
      <c r="D404" s="17" t="str">
        <f>IF(C404="","",IFERROR(VLOOKUP(C404,COA!A:B,2,FALSE),"-"))</f>
        <v/>
      </c>
      <c r="F404" s="20"/>
      <c r="G404" s="17"/>
    </row>
    <row r="405">
      <c r="A405" s="43"/>
      <c r="C405" s="17"/>
      <c r="D405" s="17" t="str">
        <f>IF(C405="","",IFERROR(VLOOKUP(C405,COA!A:B,2,FALSE),"-"))</f>
        <v/>
      </c>
      <c r="F405" s="20"/>
      <c r="G405" s="17"/>
    </row>
    <row r="406">
      <c r="A406" s="43"/>
      <c r="C406" s="17"/>
      <c r="D406" s="17" t="str">
        <f>IF(C406="","",IFERROR(VLOOKUP(C406,COA!A:B,2,FALSE),"-"))</f>
        <v/>
      </c>
      <c r="F406" s="20"/>
      <c r="G406" s="17"/>
    </row>
    <row r="407">
      <c r="A407" s="43"/>
      <c r="C407" s="17"/>
      <c r="D407" s="17" t="str">
        <f>IF(C407="","",IFERROR(VLOOKUP(C407,COA!A:B,2,FALSE),"-"))</f>
        <v/>
      </c>
      <c r="F407" s="20"/>
      <c r="G407" s="17"/>
    </row>
    <row r="408">
      <c r="A408" s="43"/>
      <c r="C408" s="17"/>
      <c r="D408" s="17" t="str">
        <f>IF(C408="","",IFERROR(VLOOKUP(C408,COA!A:B,2,FALSE),"-"))</f>
        <v/>
      </c>
      <c r="F408" s="20"/>
      <c r="G408" s="17"/>
    </row>
    <row r="409">
      <c r="A409" s="43"/>
      <c r="C409" s="17"/>
      <c r="D409" s="17" t="str">
        <f>IF(C409="","",IFERROR(VLOOKUP(C409,COA!A:B,2,FALSE),"-"))</f>
        <v/>
      </c>
      <c r="F409" s="20"/>
      <c r="G409" s="17"/>
    </row>
    <row r="410">
      <c r="A410" s="43"/>
      <c r="C410" s="17"/>
      <c r="D410" s="17" t="str">
        <f>IF(C410="","",IFERROR(VLOOKUP(C410,COA!A:B,2,FALSE),"-"))</f>
        <v/>
      </c>
      <c r="F410" s="20"/>
      <c r="G410" s="17"/>
    </row>
    <row r="411">
      <c r="A411" s="43"/>
      <c r="C411" s="17"/>
      <c r="D411" s="17" t="str">
        <f>IF(C411="","",IFERROR(VLOOKUP(C411,COA!A:B,2,FALSE),"-"))</f>
        <v/>
      </c>
      <c r="F411" s="20"/>
      <c r="G411" s="17"/>
    </row>
    <row r="412">
      <c r="A412" s="43"/>
      <c r="C412" s="17"/>
      <c r="D412" s="17" t="str">
        <f>IF(C412="","",IFERROR(VLOOKUP(C412,COA!A:B,2,FALSE),"-"))</f>
        <v/>
      </c>
      <c r="F412" s="20"/>
      <c r="G412" s="17"/>
    </row>
    <row r="413">
      <c r="A413" s="43"/>
      <c r="C413" s="17"/>
      <c r="D413" s="17" t="str">
        <f>IF(C413="","",IFERROR(VLOOKUP(C413,COA!A:B,2,FALSE),"-"))</f>
        <v/>
      </c>
      <c r="F413" s="20"/>
      <c r="G413" s="17"/>
    </row>
    <row r="414">
      <c r="A414" s="43"/>
      <c r="C414" s="17"/>
      <c r="D414" s="17" t="str">
        <f>IF(C414="","",IFERROR(VLOOKUP(C414,COA!A:B,2,FALSE),"-"))</f>
        <v/>
      </c>
      <c r="F414" s="20"/>
      <c r="G414" s="17"/>
    </row>
    <row r="415">
      <c r="A415" s="43"/>
      <c r="C415" s="17"/>
      <c r="D415" s="17" t="str">
        <f>IF(C415="","",IFERROR(VLOOKUP(C415,COA!A:B,2,FALSE),"-"))</f>
        <v/>
      </c>
      <c r="F415" s="20"/>
      <c r="G415" s="17"/>
    </row>
    <row r="416">
      <c r="A416" s="43"/>
      <c r="C416" s="17"/>
      <c r="D416" s="17" t="str">
        <f>IF(C416="","",IFERROR(VLOOKUP(C416,COA!A:B,2,FALSE),"-"))</f>
        <v/>
      </c>
      <c r="F416" s="20"/>
      <c r="G416" s="17"/>
    </row>
    <row r="417">
      <c r="A417" s="43"/>
      <c r="C417" s="17"/>
      <c r="D417" s="17" t="str">
        <f>IF(C417="","",IFERROR(VLOOKUP(C417,COA!A:B,2,FALSE),"-"))</f>
        <v/>
      </c>
      <c r="F417" s="20"/>
      <c r="G417" s="17"/>
    </row>
    <row r="418">
      <c r="A418" s="43"/>
      <c r="C418" s="17"/>
      <c r="D418" s="17" t="str">
        <f>IF(C418="","",IFERROR(VLOOKUP(C418,COA!A:B,2,FALSE),"-"))</f>
        <v/>
      </c>
      <c r="F418" s="20"/>
      <c r="G418" s="17"/>
    </row>
    <row r="419">
      <c r="A419" s="43"/>
      <c r="C419" s="17"/>
      <c r="D419" s="17" t="str">
        <f>IF(C419="","",IFERROR(VLOOKUP(C419,COA!A:B,2,FALSE),"-"))</f>
        <v/>
      </c>
      <c r="F419" s="20"/>
      <c r="G419" s="17"/>
    </row>
    <row r="420">
      <c r="A420" s="43"/>
      <c r="C420" s="17"/>
      <c r="D420" s="17" t="str">
        <f>IF(C420="","",IFERROR(VLOOKUP(C420,COA!A:B,2,FALSE),"-"))</f>
        <v/>
      </c>
      <c r="F420" s="20"/>
      <c r="G420" s="17"/>
    </row>
    <row r="421">
      <c r="A421" s="43"/>
      <c r="C421" s="17"/>
      <c r="D421" s="17" t="str">
        <f>IF(C421="","",IFERROR(VLOOKUP(C421,COA!A:B,2,FALSE),"-"))</f>
        <v/>
      </c>
      <c r="F421" s="20"/>
      <c r="G421" s="17"/>
    </row>
    <row r="422">
      <c r="A422" s="43"/>
      <c r="C422" s="17"/>
      <c r="D422" s="17" t="str">
        <f>IF(C422="","",IFERROR(VLOOKUP(C422,COA!A:B,2,FALSE),"-"))</f>
        <v/>
      </c>
      <c r="F422" s="20"/>
      <c r="G422" s="17"/>
    </row>
    <row r="423">
      <c r="A423" s="43"/>
      <c r="C423" s="17"/>
      <c r="D423" s="17" t="str">
        <f>IF(C423="","",IFERROR(VLOOKUP(C423,COA!A:B,2,FALSE),"-"))</f>
        <v/>
      </c>
      <c r="F423" s="20"/>
      <c r="G423" s="17"/>
    </row>
    <row r="424">
      <c r="A424" s="43"/>
      <c r="C424" s="17"/>
      <c r="D424" s="17" t="str">
        <f>IF(C424="","",IFERROR(VLOOKUP(C424,COA!A:B,2,FALSE),"-"))</f>
        <v/>
      </c>
      <c r="F424" s="20"/>
      <c r="G424" s="17"/>
    </row>
    <row r="425">
      <c r="A425" s="43"/>
      <c r="C425" s="17"/>
      <c r="D425" s="17" t="str">
        <f>IF(C425="","",IFERROR(VLOOKUP(C425,COA!A:B,2,FALSE),"-"))</f>
        <v/>
      </c>
      <c r="F425" s="20"/>
      <c r="G425" s="17"/>
    </row>
    <row r="426">
      <c r="A426" s="43"/>
      <c r="C426" s="17"/>
      <c r="D426" s="17" t="str">
        <f>IF(C426="","",IFERROR(VLOOKUP(C426,COA!A:B,2,FALSE),"-"))</f>
        <v/>
      </c>
      <c r="F426" s="20"/>
      <c r="G426" s="17"/>
    </row>
    <row r="427">
      <c r="A427" s="43"/>
      <c r="C427" s="17"/>
      <c r="D427" s="17" t="str">
        <f>IF(C427="","",IFERROR(VLOOKUP(C427,COA!A:B,2,FALSE),"-"))</f>
        <v/>
      </c>
      <c r="F427" s="20"/>
      <c r="G427" s="17"/>
    </row>
    <row r="428">
      <c r="A428" s="43"/>
      <c r="C428" s="17"/>
      <c r="D428" s="17" t="str">
        <f>IF(C428="","",IFERROR(VLOOKUP(C428,COA!A:B,2,FALSE),"-"))</f>
        <v/>
      </c>
      <c r="F428" s="20"/>
      <c r="G428" s="17"/>
    </row>
    <row r="429">
      <c r="A429" s="43"/>
      <c r="C429" s="17"/>
      <c r="D429" s="17" t="str">
        <f>IF(C429="","",IFERROR(VLOOKUP(C429,COA!A:B,2,FALSE),"-"))</f>
        <v/>
      </c>
      <c r="F429" s="20"/>
      <c r="G429" s="17"/>
    </row>
    <row r="430">
      <c r="A430" s="43"/>
      <c r="C430" s="17"/>
      <c r="D430" s="17" t="str">
        <f>IF(C430="","",IFERROR(VLOOKUP(C430,COA!A:B,2,FALSE),"-"))</f>
        <v/>
      </c>
      <c r="F430" s="20"/>
      <c r="G430" s="17"/>
    </row>
    <row r="431">
      <c r="A431" s="43"/>
      <c r="C431" s="17"/>
      <c r="D431" s="17" t="str">
        <f>IF(C431="","",IFERROR(VLOOKUP(C431,COA!A:B,2,FALSE),"-"))</f>
        <v/>
      </c>
      <c r="F431" s="20"/>
      <c r="G431" s="17"/>
    </row>
    <row r="432">
      <c r="A432" s="43"/>
      <c r="C432" s="17"/>
      <c r="D432" s="17" t="str">
        <f>IF(C432="","",IFERROR(VLOOKUP(C432,COA!A:B,2,FALSE),"-"))</f>
        <v/>
      </c>
      <c r="F432" s="20"/>
      <c r="G432" s="17"/>
    </row>
    <row r="433">
      <c r="A433" s="43"/>
      <c r="C433" s="17"/>
      <c r="D433" s="17" t="str">
        <f>IF(C433="","",IFERROR(VLOOKUP(C433,COA!A:B,2,FALSE),"-"))</f>
        <v/>
      </c>
      <c r="F433" s="20"/>
      <c r="G433" s="17"/>
    </row>
    <row r="434">
      <c r="A434" s="43"/>
      <c r="C434" s="17"/>
      <c r="D434" s="17" t="str">
        <f>IF(C434="","",IFERROR(VLOOKUP(C434,COA!A:B,2,FALSE),"-"))</f>
        <v/>
      </c>
      <c r="F434" s="20"/>
      <c r="G434" s="17"/>
    </row>
    <row r="435">
      <c r="A435" s="43"/>
      <c r="C435" s="17"/>
      <c r="D435" s="17" t="str">
        <f>IF(C435="","",IFERROR(VLOOKUP(C435,COA!A:B,2,FALSE),"-"))</f>
        <v/>
      </c>
      <c r="F435" s="20"/>
      <c r="G435" s="17"/>
    </row>
    <row r="436">
      <c r="A436" s="43"/>
      <c r="C436" s="17"/>
      <c r="D436" s="17" t="str">
        <f>IF(C436="","",IFERROR(VLOOKUP(C436,COA!A:B,2,FALSE),"-"))</f>
        <v/>
      </c>
      <c r="F436" s="20"/>
      <c r="G436" s="17"/>
    </row>
    <row r="437">
      <c r="A437" s="43"/>
      <c r="C437" s="17"/>
      <c r="D437" s="17" t="str">
        <f>IF(C437="","",IFERROR(VLOOKUP(C437,COA!A:B,2,FALSE),"-"))</f>
        <v/>
      </c>
      <c r="F437" s="20"/>
      <c r="G437" s="17"/>
    </row>
    <row r="438">
      <c r="A438" s="43"/>
      <c r="C438" s="17"/>
      <c r="D438" s="17" t="str">
        <f>IF(C438="","",IFERROR(VLOOKUP(C438,COA!A:B,2,FALSE),"-"))</f>
        <v/>
      </c>
      <c r="F438" s="20"/>
      <c r="G438" s="17"/>
    </row>
    <row r="439">
      <c r="A439" s="43"/>
      <c r="C439" s="17"/>
      <c r="D439" s="17" t="str">
        <f>IF(C439="","",IFERROR(VLOOKUP(C439,COA!A:B,2,FALSE),"-"))</f>
        <v/>
      </c>
      <c r="F439" s="20"/>
      <c r="G439" s="17"/>
    </row>
    <row r="440">
      <c r="A440" s="43"/>
      <c r="C440" s="17"/>
      <c r="D440" s="17" t="str">
        <f>IF(C440="","",IFERROR(VLOOKUP(C440,COA!A:B,2,FALSE),"-"))</f>
        <v/>
      </c>
      <c r="F440" s="20"/>
      <c r="G440" s="17"/>
    </row>
    <row r="441">
      <c r="A441" s="43"/>
      <c r="C441" s="17"/>
      <c r="D441" s="17" t="str">
        <f>IF(C441="","",IFERROR(VLOOKUP(C441,COA!A:B,2,FALSE),"-"))</f>
        <v/>
      </c>
      <c r="F441" s="20"/>
      <c r="G441" s="17"/>
    </row>
    <row r="442">
      <c r="A442" s="43"/>
      <c r="C442" s="17"/>
      <c r="D442" s="17" t="str">
        <f>IF(C442="","",IFERROR(VLOOKUP(C442,COA!A:B,2,FALSE),"-"))</f>
        <v/>
      </c>
      <c r="F442" s="20"/>
      <c r="G442" s="17"/>
    </row>
    <row r="443">
      <c r="A443" s="43"/>
      <c r="C443" s="17"/>
      <c r="D443" s="17" t="str">
        <f>IF(C443="","",IFERROR(VLOOKUP(C443,COA!A:B,2,FALSE),"-"))</f>
        <v/>
      </c>
      <c r="F443" s="20"/>
      <c r="G443" s="17"/>
    </row>
    <row r="444">
      <c r="A444" s="43"/>
      <c r="C444" s="17"/>
      <c r="D444" s="17" t="str">
        <f>IF(C444="","",IFERROR(VLOOKUP(C444,COA!A:B,2,FALSE),"-"))</f>
        <v/>
      </c>
      <c r="F444" s="20"/>
      <c r="G444" s="17"/>
    </row>
    <row r="445">
      <c r="A445" s="43"/>
      <c r="C445" s="17"/>
      <c r="D445" s="17" t="str">
        <f>IF(C445="","",IFERROR(VLOOKUP(C445,COA!A:B,2,FALSE),"-"))</f>
        <v/>
      </c>
      <c r="F445" s="20"/>
      <c r="G445" s="17"/>
    </row>
    <row r="446">
      <c r="A446" s="43"/>
      <c r="C446" s="17"/>
      <c r="D446" s="17" t="str">
        <f>IF(C446="","",IFERROR(VLOOKUP(C446,COA!A:B,2,FALSE),"-"))</f>
        <v/>
      </c>
      <c r="F446" s="20"/>
      <c r="G446" s="17"/>
    </row>
    <row r="447">
      <c r="A447" s="43"/>
      <c r="C447" s="17"/>
      <c r="D447" s="17" t="str">
        <f>IF(C447="","",IFERROR(VLOOKUP(C447,COA!A:B,2,FALSE),"-"))</f>
        <v/>
      </c>
      <c r="F447" s="20"/>
      <c r="G447" s="17"/>
    </row>
    <row r="448">
      <c r="A448" s="43"/>
      <c r="C448" s="17"/>
      <c r="D448" s="17" t="str">
        <f>IF(C448="","",IFERROR(VLOOKUP(C448,COA!A:B,2,FALSE),"-"))</f>
        <v/>
      </c>
      <c r="F448" s="20"/>
      <c r="G448" s="17"/>
    </row>
    <row r="449">
      <c r="A449" s="43"/>
      <c r="C449" s="17"/>
      <c r="D449" s="17" t="str">
        <f>IF(C449="","",IFERROR(VLOOKUP(C449,COA!A:B,2,FALSE),"-"))</f>
        <v/>
      </c>
      <c r="F449" s="20"/>
      <c r="G449" s="17"/>
    </row>
    <row r="450">
      <c r="A450" s="43"/>
      <c r="C450" s="17"/>
      <c r="D450" s="17" t="str">
        <f>IF(C450="","",IFERROR(VLOOKUP(C450,COA!A:B,2,FALSE),"-"))</f>
        <v/>
      </c>
      <c r="F450" s="20"/>
      <c r="G450" s="17"/>
    </row>
    <row r="451">
      <c r="A451" s="43"/>
      <c r="C451" s="17"/>
      <c r="D451" s="17" t="str">
        <f>IF(C451="","",IFERROR(VLOOKUP(C451,COA!A:B,2,FALSE),"-"))</f>
        <v/>
      </c>
      <c r="F451" s="20"/>
      <c r="G451" s="17"/>
    </row>
    <row r="452">
      <c r="A452" s="43"/>
      <c r="C452" s="17"/>
      <c r="D452" s="17" t="str">
        <f>IF(C452="","",IFERROR(VLOOKUP(C452,COA!A:B,2,FALSE),"-"))</f>
        <v/>
      </c>
      <c r="F452" s="20"/>
      <c r="G452" s="17"/>
    </row>
    <row r="453">
      <c r="A453" s="43"/>
      <c r="C453" s="17"/>
      <c r="D453" s="17" t="str">
        <f>IF(C453="","",IFERROR(VLOOKUP(C453,COA!A:B,2,FALSE),"-"))</f>
        <v/>
      </c>
      <c r="F453" s="20"/>
      <c r="G453" s="17"/>
    </row>
    <row r="454">
      <c r="A454" s="43"/>
      <c r="C454" s="17"/>
      <c r="D454" s="17" t="str">
        <f>IF(C454="","",IFERROR(VLOOKUP(C454,COA!A:B,2,FALSE),"-"))</f>
        <v/>
      </c>
      <c r="F454" s="20"/>
      <c r="G454" s="17"/>
    </row>
    <row r="455">
      <c r="A455" s="43"/>
      <c r="C455" s="17"/>
      <c r="D455" s="17" t="str">
        <f>IF(C455="","",IFERROR(VLOOKUP(C455,COA!A:B,2,FALSE),"-"))</f>
        <v/>
      </c>
      <c r="F455" s="20"/>
      <c r="G455" s="17"/>
    </row>
    <row r="456">
      <c r="A456" s="43"/>
      <c r="C456" s="17"/>
      <c r="D456" s="17" t="str">
        <f>IF(C456="","",IFERROR(VLOOKUP(C456,COA!A:B,2,FALSE),"-"))</f>
        <v/>
      </c>
      <c r="F456" s="20"/>
      <c r="G456" s="17"/>
    </row>
    <row r="457">
      <c r="A457" s="43"/>
      <c r="C457" s="17"/>
      <c r="D457" s="17" t="str">
        <f>IF(C457="","",IFERROR(VLOOKUP(C457,COA!A:B,2,FALSE),"-"))</f>
        <v/>
      </c>
      <c r="F457" s="20"/>
      <c r="G457" s="17"/>
    </row>
    <row r="458">
      <c r="A458" s="43"/>
      <c r="C458" s="17"/>
      <c r="D458" s="17" t="str">
        <f>IF(C458="","",IFERROR(VLOOKUP(C458,COA!A:B,2,FALSE),"-"))</f>
        <v/>
      </c>
      <c r="F458" s="20"/>
      <c r="G458" s="17"/>
    </row>
    <row r="459">
      <c r="A459" s="43"/>
      <c r="C459" s="17"/>
      <c r="D459" s="17" t="str">
        <f>IF(C459="","",IFERROR(VLOOKUP(C459,COA!A:B,2,FALSE),"-"))</f>
        <v/>
      </c>
      <c r="F459" s="20"/>
      <c r="G459" s="17"/>
    </row>
    <row r="460">
      <c r="A460" s="43"/>
      <c r="C460" s="17"/>
      <c r="D460" s="17" t="str">
        <f>IF(C460="","",IFERROR(VLOOKUP(C460,COA!A:B,2,FALSE),"-"))</f>
        <v/>
      </c>
      <c r="F460" s="20"/>
      <c r="G460" s="17"/>
    </row>
    <row r="461">
      <c r="A461" s="43"/>
      <c r="C461" s="17"/>
      <c r="D461" s="17" t="str">
        <f>IF(C461="","",IFERROR(VLOOKUP(C461,COA!A:B,2,FALSE),"-"))</f>
        <v/>
      </c>
      <c r="F461" s="20"/>
      <c r="G461" s="17"/>
    </row>
    <row r="462">
      <c r="A462" s="43"/>
      <c r="C462" s="17"/>
      <c r="D462" s="17" t="str">
        <f>IF(C462="","",IFERROR(VLOOKUP(C462,COA!A:B,2,FALSE),"-"))</f>
        <v/>
      </c>
      <c r="F462" s="20"/>
      <c r="G462" s="17"/>
    </row>
    <row r="463">
      <c r="A463" s="43"/>
      <c r="C463" s="17"/>
      <c r="D463" s="17" t="str">
        <f>IF(C463="","",IFERROR(VLOOKUP(C463,COA!A:B,2,FALSE),"-"))</f>
        <v/>
      </c>
      <c r="F463" s="20"/>
      <c r="G463" s="17"/>
    </row>
    <row r="464">
      <c r="A464" s="43"/>
      <c r="C464" s="17"/>
      <c r="D464" s="17" t="str">
        <f>IF(C464="","",IFERROR(VLOOKUP(C464,COA!A:B,2,FALSE),"-"))</f>
        <v/>
      </c>
      <c r="F464" s="20"/>
      <c r="G464" s="17"/>
    </row>
    <row r="465">
      <c r="A465" s="43"/>
      <c r="C465" s="17"/>
      <c r="D465" s="17" t="str">
        <f>IF(C465="","",IFERROR(VLOOKUP(C465,COA!A:B,2,FALSE),"-"))</f>
        <v/>
      </c>
      <c r="F465" s="20"/>
      <c r="G465" s="17"/>
    </row>
    <row r="466">
      <c r="A466" s="43"/>
      <c r="C466" s="17"/>
      <c r="D466" s="17" t="str">
        <f>IF(C466="","",IFERROR(VLOOKUP(C466,COA!A:B,2,FALSE),"-"))</f>
        <v/>
      </c>
      <c r="F466" s="20"/>
      <c r="G466" s="17"/>
    </row>
    <row r="467">
      <c r="A467" s="43"/>
      <c r="C467" s="17"/>
      <c r="D467" s="17" t="str">
        <f>IF(C467="","",IFERROR(VLOOKUP(C467,COA!A:B,2,FALSE),"-"))</f>
        <v/>
      </c>
      <c r="F467" s="20"/>
      <c r="G467" s="17"/>
    </row>
    <row r="468">
      <c r="A468" s="43"/>
      <c r="C468" s="17"/>
      <c r="D468" s="17" t="str">
        <f>IF(C468="","",IFERROR(VLOOKUP(C468,COA!A:B,2,FALSE),"-"))</f>
        <v/>
      </c>
      <c r="F468" s="20"/>
      <c r="G468" s="17"/>
    </row>
    <row r="469">
      <c r="A469" s="43"/>
      <c r="C469" s="17"/>
      <c r="D469" s="17" t="str">
        <f>IF(C469="","",IFERROR(VLOOKUP(C469,COA!A:B,2,FALSE),"-"))</f>
        <v/>
      </c>
      <c r="F469" s="20"/>
      <c r="G469" s="17"/>
    </row>
    <row r="470">
      <c r="A470" s="43"/>
      <c r="C470" s="17"/>
      <c r="D470" s="17" t="str">
        <f>IF(C470="","",IFERROR(VLOOKUP(C470,COA!A:B,2,FALSE),"-"))</f>
        <v/>
      </c>
      <c r="F470" s="20"/>
      <c r="G470" s="17"/>
    </row>
    <row r="471">
      <c r="A471" s="43"/>
      <c r="C471" s="17"/>
      <c r="D471" s="17" t="str">
        <f>IF(C471="","",IFERROR(VLOOKUP(C471,COA!A:B,2,FALSE),"-"))</f>
        <v/>
      </c>
      <c r="F471" s="20"/>
      <c r="G471" s="17"/>
    </row>
    <row r="472">
      <c r="A472" s="43"/>
      <c r="C472" s="17"/>
      <c r="D472" s="17" t="str">
        <f>IF(C472="","",IFERROR(VLOOKUP(C472,COA!A:B,2,FALSE),"-"))</f>
        <v/>
      </c>
      <c r="F472" s="20"/>
      <c r="G472" s="17"/>
    </row>
    <row r="473">
      <c r="A473" s="43"/>
      <c r="C473" s="17"/>
      <c r="D473" s="17" t="str">
        <f>IF(C473="","",IFERROR(VLOOKUP(C473,COA!A:B,2,FALSE),"-"))</f>
        <v/>
      </c>
      <c r="F473" s="20"/>
      <c r="G473" s="17"/>
    </row>
    <row r="474">
      <c r="A474" s="43"/>
      <c r="C474" s="17"/>
      <c r="D474" s="17" t="str">
        <f>IF(C474="","",IFERROR(VLOOKUP(C474,COA!A:B,2,FALSE),"-"))</f>
        <v/>
      </c>
      <c r="F474" s="20"/>
      <c r="G474" s="17"/>
    </row>
    <row r="475">
      <c r="A475" s="43"/>
      <c r="C475" s="17"/>
      <c r="D475" s="17" t="str">
        <f>IF(C475="","",IFERROR(VLOOKUP(C475,COA!A:B,2,FALSE),"-"))</f>
        <v/>
      </c>
      <c r="F475" s="20"/>
      <c r="G475" s="17"/>
    </row>
    <row r="476">
      <c r="A476" s="43"/>
      <c r="C476" s="17"/>
      <c r="D476" s="17" t="str">
        <f>IF(C476="","",IFERROR(VLOOKUP(C476,COA!A:B,2,FALSE),"-"))</f>
        <v/>
      </c>
      <c r="F476" s="20"/>
      <c r="G476" s="17"/>
    </row>
    <row r="477">
      <c r="A477" s="43"/>
      <c r="C477" s="17"/>
      <c r="D477" s="17" t="str">
        <f>IF(C477="","",IFERROR(VLOOKUP(C477,COA!A:B,2,FALSE),"-"))</f>
        <v/>
      </c>
      <c r="F477" s="20"/>
      <c r="G477" s="17"/>
    </row>
    <row r="478">
      <c r="A478" s="43"/>
      <c r="C478" s="17"/>
      <c r="D478" s="17" t="str">
        <f>IF(C478="","",IFERROR(VLOOKUP(C478,COA!A:B,2,FALSE),"-"))</f>
        <v/>
      </c>
      <c r="F478" s="20"/>
      <c r="G478" s="17"/>
    </row>
    <row r="479">
      <c r="A479" s="43"/>
      <c r="C479" s="17"/>
      <c r="D479" s="17" t="str">
        <f>IF(C479="","",IFERROR(VLOOKUP(C479,COA!A:B,2,FALSE),"-"))</f>
        <v/>
      </c>
      <c r="F479" s="20"/>
      <c r="G479" s="17"/>
    </row>
    <row r="480">
      <c r="A480" s="43"/>
      <c r="C480" s="17"/>
      <c r="D480" s="17" t="str">
        <f>IF(C480="","",IFERROR(VLOOKUP(C480,COA!A:B,2,FALSE),"-"))</f>
        <v/>
      </c>
      <c r="F480" s="20"/>
      <c r="G480" s="17"/>
    </row>
    <row r="481">
      <c r="A481" s="43"/>
      <c r="C481" s="17"/>
      <c r="D481" s="17" t="str">
        <f>IF(C481="","",IFERROR(VLOOKUP(C481,COA!A:B,2,FALSE),"-"))</f>
        <v/>
      </c>
      <c r="F481" s="20"/>
      <c r="G481" s="17"/>
    </row>
    <row r="482">
      <c r="A482" s="43"/>
      <c r="C482" s="17"/>
      <c r="D482" s="17" t="str">
        <f>IF(C482="","",IFERROR(VLOOKUP(C482,COA!A:B,2,FALSE),"-"))</f>
        <v/>
      </c>
      <c r="F482" s="20"/>
      <c r="G482" s="17"/>
    </row>
    <row r="483">
      <c r="A483" s="43"/>
      <c r="C483" s="17"/>
      <c r="D483" s="17" t="str">
        <f>IF(C483="","",IFERROR(VLOOKUP(C483,COA!A:B,2,FALSE),"-"))</f>
        <v/>
      </c>
      <c r="F483" s="20"/>
      <c r="G483" s="17"/>
    </row>
    <row r="484">
      <c r="A484" s="43"/>
      <c r="C484" s="17"/>
      <c r="D484" s="17" t="str">
        <f>IF(C484="","",IFERROR(VLOOKUP(C484,COA!A:B,2,FALSE),"-"))</f>
        <v/>
      </c>
      <c r="F484" s="20"/>
      <c r="G484" s="17"/>
    </row>
    <row r="485">
      <c r="A485" s="43"/>
      <c r="C485" s="17"/>
      <c r="D485" s="17" t="str">
        <f>IF(C485="","",IFERROR(VLOOKUP(C485,COA!A:B,2,FALSE),"-"))</f>
        <v/>
      </c>
      <c r="F485" s="20"/>
      <c r="G485" s="17"/>
    </row>
    <row r="486">
      <c r="A486" s="43"/>
      <c r="C486" s="17"/>
      <c r="D486" s="17" t="str">
        <f>IF(C486="","",IFERROR(VLOOKUP(C486,COA!A:B,2,FALSE),"-"))</f>
        <v/>
      </c>
      <c r="F486" s="20"/>
      <c r="G486" s="17"/>
    </row>
    <row r="487">
      <c r="A487" s="43"/>
      <c r="C487" s="17"/>
      <c r="D487" s="17" t="str">
        <f>IF(C487="","",IFERROR(VLOOKUP(C487,COA!A:B,2,FALSE),"-"))</f>
        <v/>
      </c>
      <c r="F487" s="20"/>
      <c r="G487" s="17"/>
    </row>
    <row r="488">
      <c r="A488" s="43"/>
      <c r="C488" s="17"/>
      <c r="D488" s="17" t="str">
        <f>IF(C488="","",IFERROR(VLOOKUP(C488,COA!A:B,2,FALSE),"-"))</f>
        <v/>
      </c>
      <c r="F488" s="20"/>
      <c r="G488" s="17"/>
    </row>
    <row r="489">
      <c r="A489" s="43"/>
      <c r="C489" s="17"/>
      <c r="D489" s="17" t="str">
        <f>IF(C489="","",IFERROR(VLOOKUP(C489,COA!A:B,2,FALSE),"-"))</f>
        <v/>
      </c>
      <c r="F489" s="20"/>
      <c r="G489" s="17"/>
    </row>
    <row r="490">
      <c r="A490" s="43"/>
      <c r="C490" s="17"/>
      <c r="D490" s="17" t="str">
        <f>IF(C490="","",IFERROR(VLOOKUP(C490,COA!A:B,2,FALSE),"-"))</f>
        <v/>
      </c>
      <c r="F490" s="20"/>
      <c r="G490" s="17"/>
    </row>
    <row r="491">
      <c r="A491" s="43"/>
      <c r="C491" s="17"/>
      <c r="D491" s="17" t="str">
        <f>IF(C491="","",IFERROR(VLOOKUP(C491,COA!A:B,2,FALSE),"-"))</f>
        <v/>
      </c>
      <c r="F491" s="20"/>
      <c r="G491" s="17"/>
    </row>
    <row r="492">
      <c r="A492" s="43"/>
      <c r="C492" s="17"/>
      <c r="D492" s="17" t="str">
        <f>IF(C492="","",IFERROR(VLOOKUP(C492,COA!A:B,2,FALSE),"-"))</f>
        <v/>
      </c>
      <c r="F492" s="20"/>
      <c r="G492" s="17"/>
    </row>
    <row r="493">
      <c r="A493" s="43"/>
      <c r="C493" s="17"/>
      <c r="D493" s="17" t="str">
        <f>IF(C493="","",IFERROR(VLOOKUP(C493,COA!A:B,2,FALSE),"-"))</f>
        <v/>
      </c>
      <c r="F493" s="20"/>
      <c r="G493" s="17"/>
    </row>
    <row r="494">
      <c r="A494" s="43"/>
      <c r="C494" s="17"/>
      <c r="D494" s="17" t="str">
        <f>IF(C494="","",IFERROR(VLOOKUP(C494,COA!A:B,2,FALSE),"-"))</f>
        <v/>
      </c>
      <c r="F494" s="20"/>
      <c r="G494" s="17"/>
    </row>
    <row r="495">
      <c r="A495" s="43"/>
      <c r="C495" s="17"/>
      <c r="D495" s="17" t="str">
        <f>IF(C495="","",IFERROR(VLOOKUP(C495,COA!A:B,2,FALSE),"-"))</f>
        <v/>
      </c>
      <c r="F495" s="20"/>
      <c r="G495" s="17"/>
    </row>
    <row r="496">
      <c r="A496" s="43"/>
      <c r="C496" s="17"/>
      <c r="D496" s="17" t="str">
        <f>IF(C496="","",IFERROR(VLOOKUP(C496,COA!A:B,2,FALSE),"-"))</f>
        <v/>
      </c>
      <c r="F496" s="20"/>
      <c r="G496" s="17"/>
    </row>
    <row r="497">
      <c r="A497" s="43"/>
      <c r="C497" s="17"/>
      <c r="D497" s="17" t="str">
        <f>IF(C497="","",IFERROR(VLOOKUP(C497,COA!A:B,2,FALSE),"-"))</f>
        <v/>
      </c>
      <c r="F497" s="20"/>
      <c r="G497" s="17"/>
    </row>
    <row r="500">
      <c r="A500" s="29" t="s">
        <v>260</v>
      </c>
    </row>
    <row r="501">
      <c r="A501" s="35" t="s">
        <v>153</v>
      </c>
      <c r="B501" s="35" t="s">
        <v>261</v>
      </c>
      <c r="C501" s="50"/>
      <c r="D501" s="50"/>
      <c r="E501" s="50"/>
      <c r="F501" s="51">
        <f>SUMIF(C4:C497,"6-101",F4:F497)</f>
        <v>5000000</v>
      </c>
      <c r="G501" s="50"/>
      <c r="H501" s="50"/>
    </row>
    <row r="502">
      <c r="A502" s="35" t="s">
        <v>158</v>
      </c>
      <c r="B502" s="35" t="s">
        <v>262</v>
      </c>
      <c r="C502" s="50"/>
      <c r="D502" s="50"/>
      <c r="E502" s="50"/>
      <c r="F502" s="51">
        <f>SUMIF(C4:C497,"6-102",F4:F497)</f>
        <v>2000000</v>
      </c>
      <c r="G502" s="50"/>
      <c r="H502" s="50"/>
    </row>
    <row r="503">
      <c r="A503" s="35" t="s">
        <v>161</v>
      </c>
      <c r="B503" s="35" t="s">
        <v>263</v>
      </c>
      <c r="C503" s="50"/>
      <c r="D503" s="50"/>
      <c r="E503" s="50"/>
      <c r="F503" s="51">
        <f>SUMIF(C4:C497,"6-103",F4:F497)</f>
        <v>500000</v>
      </c>
      <c r="G503" s="50"/>
      <c r="H503" s="50"/>
    </row>
    <row r="504">
      <c r="A504" s="35" t="s">
        <v>164</v>
      </c>
      <c r="B504" s="35" t="s">
        <v>264</v>
      </c>
      <c r="C504" s="50"/>
      <c r="D504" s="50"/>
      <c r="E504" s="50"/>
      <c r="F504" s="51">
        <f>SUMIF(C4:C497,"6-104",F4:F497)</f>
        <v>1000000</v>
      </c>
      <c r="G504" s="50"/>
      <c r="H504" s="50"/>
    </row>
    <row r="505">
      <c r="A505" s="35" t="s">
        <v>169</v>
      </c>
      <c r="B505" s="35" t="s">
        <v>265</v>
      </c>
      <c r="C505" s="50"/>
      <c r="D505" s="50"/>
      <c r="E505" s="50"/>
      <c r="F505" s="51">
        <f>SUMIF(C4:C497,"6-105",F4:F497)</f>
        <v>100000</v>
      </c>
      <c r="G505" s="50"/>
      <c r="H505" s="50"/>
    </row>
    <row r="506">
      <c r="A506" s="35" t="s">
        <v>241</v>
      </c>
      <c r="B506" s="35" t="s">
        <v>266</v>
      </c>
      <c r="C506" s="50"/>
      <c r="D506" s="50"/>
      <c r="E506" s="50"/>
      <c r="F506" s="51">
        <f>SUMIF(C4:C497,"6-106",F4:F497)</f>
        <v>0</v>
      </c>
      <c r="G506" s="50"/>
      <c r="H506" s="50"/>
    </row>
    <row r="507">
      <c r="A507" s="35" t="s">
        <v>172</v>
      </c>
      <c r="B507" s="35" t="s">
        <v>267</v>
      </c>
      <c r="C507" s="50"/>
      <c r="D507" s="50"/>
      <c r="E507" s="50"/>
      <c r="F507" s="51">
        <f>SUMIF(C4:C497,"6-107",F4:F497)</f>
        <v>50000</v>
      </c>
      <c r="G507" s="50"/>
      <c r="H507" s="50"/>
    </row>
    <row r="508">
      <c r="A508" s="35" t="s">
        <v>244</v>
      </c>
      <c r="B508" s="35" t="s">
        <v>268</v>
      </c>
      <c r="C508" s="50"/>
      <c r="D508" s="50"/>
      <c r="E508" s="50"/>
      <c r="F508" s="51">
        <f>SUMIF(C4:C497,"6-108",F4:F497)</f>
        <v>0</v>
      </c>
      <c r="G508" s="50"/>
      <c r="H508" s="50"/>
    </row>
    <row r="509">
      <c r="A509" s="35" t="s">
        <v>246</v>
      </c>
      <c r="B509" s="35" t="s">
        <v>247</v>
      </c>
      <c r="C509" s="50"/>
      <c r="D509" s="50"/>
      <c r="E509" s="50"/>
      <c r="F509" s="51">
        <f>SUMIF(C4:C497,"6-109",F4:F497)</f>
        <v>0</v>
      </c>
      <c r="G509" s="50"/>
      <c r="H509" s="50"/>
    </row>
    <row r="510">
      <c r="A510" s="39" t="s">
        <v>269</v>
      </c>
      <c r="B510" s="41"/>
      <c r="C510" s="41"/>
      <c r="D510" s="41"/>
      <c r="E510" s="41"/>
      <c r="F510" s="40">
        <f>SUM(F501:F509)</f>
        <v>8650000</v>
      </c>
      <c r="G510" s="41"/>
      <c r="H510" s="41"/>
    </row>
  </sheetData>
  <mergeCells count="3">
    <mergeCell ref="A1:H1"/>
    <mergeCell ref="A2:H2"/>
    <mergeCell ref="A500:H500"/>
  </mergeCells>
  <dataValidations>
    <dataValidation type="list" allowBlank="1" sqref="G4:G497">
      <formula1>COA!$B$4:$B$7</formula1>
    </dataValidation>
    <dataValidation type="list" allowBlank="1" sqref="C4:C497">
      <formula1>COA!$A$4:$A$60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88"/>
    <col customWidth="1" min="2" max="2" width="21.38"/>
    <col customWidth="1" min="3" max="3" width="25.5"/>
    <col customWidth="1" min="4" max="6" width="21.38"/>
    <col customWidth="1" min="7" max="7" width="25.63"/>
    <col customWidth="1" min="8" max="8" width="21.38"/>
  </cols>
  <sheetData>
    <row r="1" ht="30.0" customHeight="1">
      <c r="A1" s="48" t="s">
        <v>250</v>
      </c>
    </row>
    <row r="2" ht="30.0" customHeight="1">
      <c r="A2" s="3" t="s">
        <v>251</v>
      </c>
    </row>
    <row r="3" ht="24.0" customHeight="1">
      <c r="A3" s="49" t="s">
        <v>7</v>
      </c>
      <c r="B3" s="49" t="s">
        <v>252</v>
      </c>
      <c r="C3" s="49" t="s">
        <v>253</v>
      </c>
      <c r="D3" s="49" t="s">
        <v>98</v>
      </c>
      <c r="E3" s="49" t="s">
        <v>99</v>
      </c>
      <c r="F3" s="49" t="s">
        <v>100</v>
      </c>
      <c r="G3" s="49" t="s">
        <v>101</v>
      </c>
      <c r="H3" s="49" t="s">
        <v>150</v>
      </c>
    </row>
    <row r="4">
      <c r="A4" s="7">
        <v>46242.0</v>
      </c>
      <c r="B4" s="9" t="s">
        <v>254</v>
      </c>
      <c r="C4" s="9" t="s">
        <v>255</v>
      </c>
      <c r="D4" s="9" t="s">
        <v>83</v>
      </c>
      <c r="E4" s="17" t="str">
        <f>IF(D4="","",IFERROR(VLOOKUP(D4,COA!A:B,2,FALSE),"-"))</f>
        <v>Kas Bank BCA Novianti</v>
      </c>
      <c r="F4" s="8" t="s">
        <v>51</v>
      </c>
      <c r="G4" s="17" t="str">
        <f>IF(F4="","",IFERROR(VLOOKUP(F4,COA!A:B,2,FALSE),"-"))</f>
        <v>Piutang Web Raabiha</v>
      </c>
      <c r="H4" s="19">
        <v>2980000.0</v>
      </c>
    </row>
    <row r="5">
      <c r="A5" s="7">
        <v>46243.0</v>
      </c>
      <c r="B5" s="9" t="s">
        <v>256</v>
      </c>
      <c r="C5" s="9" t="s">
        <v>257</v>
      </c>
      <c r="D5" s="9" t="s">
        <v>46</v>
      </c>
      <c r="E5" s="17" t="str">
        <f>IF(D5="","",IFERROR(VLOOKUP(D5,COA!A:B,2,FALSE),"-"))</f>
        <v>Kas Bank BCA CV Sinar Mandani</v>
      </c>
      <c r="F5" s="8" t="s">
        <v>56</v>
      </c>
      <c r="G5" s="17" t="str">
        <f>IF(F5="","",IFERROR(VLOOKUP(F5,COA!A:B,2,FALSE),"-"))</f>
        <v>Piutang Shopee</v>
      </c>
      <c r="H5" s="19">
        <v>5000000.0</v>
      </c>
    </row>
    <row r="6">
      <c r="A6" s="7">
        <v>46244.0</v>
      </c>
      <c r="B6" s="9" t="s">
        <v>258</v>
      </c>
      <c r="C6" s="9" t="s">
        <v>259</v>
      </c>
      <c r="D6" s="9" t="s">
        <v>241</v>
      </c>
      <c r="E6" s="17" t="str">
        <f>IF(D6="","",IFERROR(VLOOKUP(D6,COA!A:B,2,FALSE),"-"))</f>
        <v>Beban Penyusutan Aset</v>
      </c>
      <c r="F6" s="8" t="s">
        <v>182</v>
      </c>
      <c r="G6" s="17" t="str">
        <f>IF(F6="","",IFERROR(VLOOKUP(F6,COA!A:B,2,FALSE),"-"))</f>
        <v>Akumulasi Penyusutan Peralatan</v>
      </c>
      <c r="H6" s="19">
        <v>200000.0</v>
      </c>
    </row>
    <row r="7">
      <c r="A7" s="7"/>
      <c r="D7" s="17"/>
      <c r="E7" s="17" t="str">
        <f>IF(D7="","",IFERROR(VLOOKUP(D7,COA!A:B,2,FALSE),"-"))</f>
        <v/>
      </c>
      <c r="F7" s="17"/>
      <c r="G7" s="17" t="str">
        <f>IF(F7="","",IFERROR(VLOOKUP(F7,COA!A:B,2,FALSE),"-"))</f>
        <v/>
      </c>
      <c r="H7" s="19"/>
    </row>
    <row r="8">
      <c r="A8" s="43"/>
      <c r="D8" s="17"/>
      <c r="E8" s="17" t="str">
        <f>IF(D8="","",IFERROR(VLOOKUP(D8,COA!A:B,2,FALSE),"-"))</f>
        <v/>
      </c>
      <c r="F8" s="17"/>
      <c r="G8" s="17" t="str">
        <f>IF(F8="","",IFERROR(VLOOKUP(F8,COA!A:B,2,FALSE),"-"))</f>
        <v/>
      </c>
      <c r="H8" s="20"/>
    </row>
    <row r="9">
      <c r="A9" s="43"/>
      <c r="D9" s="17"/>
      <c r="E9" s="17" t="str">
        <f>IF(D9="","",IFERROR(VLOOKUP(D9,COA!A:B,2,FALSE),"-"))</f>
        <v/>
      </c>
      <c r="F9" s="17"/>
      <c r="G9" s="17" t="str">
        <f>IF(F9="","",IFERROR(VLOOKUP(F9,COA!A:B,2,FALSE),"-"))</f>
        <v/>
      </c>
      <c r="H9" s="20"/>
    </row>
    <row r="10">
      <c r="A10" s="43"/>
      <c r="D10" s="17"/>
      <c r="E10" s="17" t="str">
        <f>IF(D10="","",IFERROR(VLOOKUP(D10,COA!A:B,2,FALSE),"-"))</f>
        <v/>
      </c>
      <c r="F10" s="17"/>
      <c r="G10" s="17" t="str">
        <f>IF(F10="","",IFERROR(VLOOKUP(F10,COA!A:B,2,FALSE),"-"))</f>
        <v/>
      </c>
      <c r="H10" s="20"/>
    </row>
    <row r="11">
      <c r="A11" s="43"/>
      <c r="D11" s="17"/>
      <c r="E11" s="17" t="str">
        <f>IF(D11="","",IFERROR(VLOOKUP(D11,COA!A:B,2,FALSE),"-"))</f>
        <v/>
      </c>
      <c r="F11" s="17"/>
      <c r="G11" s="17" t="str">
        <f>IF(F11="","",IFERROR(VLOOKUP(F11,COA!A:B,2,FALSE),"-"))</f>
        <v/>
      </c>
      <c r="H11" s="20"/>
    </row>
    <row r="12">
      <c r="A12" s="43"/>
      <c r="D12" s="17"/>
      <c r="E12" s="17" t="str">
        <f>IF(D12="","",IFERROR(VLOOKUP(D12,COA!A:B,2,FALSE),"-"))</f>
        <v/>
      </c>
      <c r="F12" s="17"/>
      <c r="G12" s="17" t="str">
        <f>IF(F12="","",IFERROR(VLOOKUP(F12,COA!A:B,2,FALSE),"-"))</f>
        <v/>
      </c>
      <c r="H12" s="20"/>
    </row>
    <row r="13">
      <c r="A13" s="43"/>
      <c r="D13" s="17"/>
      <c r="E13" s="17" t="str">
        <f>IF(D13="","",IFERROR(VLOOKUP(D13,COA!A:B,2,FALSE),"-"))</f>
        <v/>
      </c>
      <c r="F13" s="17"/>
      <c r="G13" s="17" t="str">
        <f>IF(F13="","",IFERROR(VLOOKUP(F13,COA!A:B,2,FALSE),"-"))</f>
        <v/>
      </c>
      <c r="H13" s="20"/>
    </row>
    <row r="14">
      <c r="A14" s="43"/>
      <c r="D14" s="17"/>
      <c r="E14" s="17" t="str">
        <f>IF(D14="","",IFERROR(VLOOKUP(D14,COA!A:B,2,FALSE),"-"))</f>
        <v/>
      </c>
      <c r="F14" s="17"/>
      <c r="G14" s="17" t="str">
        <f>IF(F14="","",IFERROR(VLOOKUP(F14,COA!A:B,2,FALSE),"-"))</f>
        <v/>
      </c>
      <c r="H14" s="20"/>
    </row>
    <row r="15">
      <c r="A15" s="43"/>
      <c r="D15" s="17"/>
      <c r="E15" s="17" t="str">
        <f>IF(D15="","",IFERROR(VLOOKUP(D15,COA!A:B,2,FALSE),"-"))</f>
        <v/>
      </c>
      <c r="F15" s="17"/>
      <c r="G15" s="17" t="str">
        <f>IF(F15="","",IFERROR(VLOOKUP(F15,COA!A:B,2,FALSE),"-"))</f>
        <v/>
      </c>
      <c r="H15" s="20"/>
    </row>
    <row r="16">
      <c r="A16" s="43"/>
      <c r="D16" s="17"/>
      <c r="E16" s="17" t="str">
        <f>IF(D16="","",IFERROR(VLOOKUP(D16,COA!A:B,2,FALSE),"-"))</f>
        <v/>
      </c>
      <c r="F16" s="17"/>
      <c r="G16" s="17" t="str">
        <f>IF(F16="","",IFERROR(VLOOKUP(F16,COA!A:B,2,FALSE),"-"))</f>
        <v/>
      </c>
      <c r="H16" s="20"/>
    </row>
    <row r="17">
      <c r="A17" s="43"/>
      <c r="D17" s="17"/>
      <c r="E17" s="17" t="str">
        <f>IF(D17="","",IFERROR(VLOOKUP(D17,COA!A:B,2,FALSE),"-"))</f>
        <v/>
      </c>
      <c r="F17" s="17"/>
      <c r="G17" s="17" t="str">
        <f>IF(F17="","",IFERROR(VLOOKUP(F17,COA!A:B,2,FALSE),"-"))</f>
        <v/>
      </c>
      <c r="H17" s="20"/>
    </row>
    <row r="18">
      <c r="A18" s="43"/>
      <c r="D18" s="17"/>
      <c r="E18" s="17" t="str">
        <f>IF(D18="","",IFERROR(VLOOKUP(D18,COA!A:B,2,FALSE),"-"))</f>
        <v/>
      </c>
      <c r="F18" s="17"/>
      <c r="G18" s="17" t="str">
        <f>IF(F18="","",IFERROR(VLOOKUP(F18,COA!A:B,2,FALSE),"-"))</f>
        <v/>
      </c>
      <c r="H18" s="20"/>
    </row>
    <row r="19">
      <c r="A19" s="43"/>
      <c r="D19" s="17"/>
      <c r="E19" s="17" t="str">
        <f>IF(D19="","",IFERROR(VLOOKUP(D19,COA!A:B,2,FALSE),"-"))</f>
        <v/>
      </c>
      <c r="F19" s="17"/>
      <c r="G19" s="17" t="str">
        <f>IF(F19="","",IFERROR(VLOOKUP(F19,COA!A:B,2,FALSE),"-"))</f>
        <v/>
      </c>
      <c r="H19" s="20"/>
    </row>
    <row r="20">
      <c r="A20" s="43"/>
      <c r="D20" s="17"/>
      <c r="E20" s="17" t="str">
        <f>IF(D20="","",IFERROR(VLOOKUP(D20,COA!A:B,2,FALSE),"-"))</f>
        <v/>
      </c>
      <c r="F20" s="17"/>
      <c r="G20" s="17" t="str">
        <f>IF(F20="","",IFERROR(VLOOKUP(F20,COA!A:B,2,FALSE),"-"))</f>
        <v/>
      </c>
      <c r="H20" s="20"/>
    </row>
    <row r="21">
      <c r="A21" s="43"/>
      <c r="D21" s="17"/>
      <c r="E21" s="17" t="str">
        <f>IF(D21="","",IFERROR(VLOOKUP(D21,COA!A:B,2,FALSE),"-"))</f>
        <v/>
      </c>
      <c r="F21" s="17"/>
      <c r="G21" s="17" t="str">
        <f>IF(F21="","",IFERROR(VLOOKUP(F21,COA!A:B,2,FALSE),"-"))</f>
        <v/>
      </c>
      <c r="H21" s="20"/>
    </row>
    <row r="22">
      <c r="A22" s="43"/>
      <c r="D22" s="17"/>
      <c r="E22" s="17" t="str">
        <f>IF(D22="","",IFERROR(VLOOKUP(D22,COA!A:B,2,FALSE),"-"))</f>
        <v/>
      </c>
      <c r="F22" s="17"/>
      <c r="G22" s="17" t="str">
        <f>IF(F22="","",IFERROR(VLOOKUP(F22,COA!A:B,2,FALSE),"-"))</f>
        <v/>
      </c>
      <c r="H22" s="20"/>
    </row>
    <row r="23">
      <c r="A23" s="43"/>
      <c r="D23" s="17"/>
      <c r="E23" s="17" t="str">
        <f>IF(D23="","",IFERROR(VLOOKUP(D23,COA!A:B,2,FALSE),"-"))</f>
        <v/>
      </c>
      <c r="F23" s="17"/>
      <c r="G23" s="17" t="str">
        <f>IF(F23="","",IFERROR(VLOOKUP(F23,COA!A:B,2,FALSE),"-"))</f>
        <v/>
      </c>
      <c r="H23" s="20"/>
    </row>
    <row r="24">
      <c r="A24" s="43"/>
      <c r="D24" s="17"/>
      <c r="E24" s="17" t="str">
        <f>IF(D24="","",IFERROR(VLOOKUP(D24,COA!A:B,2,FALSE),"-"))</f>
        <v/>
      </c>
      <c r="F24" s="17"/>
      <c r="G24" s="17" t="str">
        <f>IF(F24="","",IFERROR(VLOOKUP(F24,COA!A:B,2,FALSE),"-"))</f>
        <v/>
      </c>
      <c r="H24" s="20"/>
    </row>
    <row r="25">
      <c r="A25" s="43"/>
      <c r="D25" s="17"/>
      <c r="E25" s="17" t="str">
        <f>IF(D25="","",IFERROR(VLOOKUP(D25,COA!A:B,2,FALSE),"-"))</f>
        <v/>
      </c>
      <c r="F25" s="17"/>
      <c r="G25" s="17" t="str">
        <f>IF(F25="","",IFERROR(VLOOKUP(F25,COA!A:B,2,FALSE),"-"))</f>
        <v/>
      </c>
      <c r="H25" s="20"/>
    </row>
    <row r="26">
      <c r="A26" s="43"/>
      <c r="D26" s="17"/>
      <c r="E26" s="17" t="str">
        <f>IF(D26="","",IFERROR(VLOOKUP(D26,COA!A:B,2,FALSE),"-"))</f>
        <v/>
      </c>
      <c r="F26" s="17"/>
      <c r="G26" s="17" t="str">
        <f>IF(F26="","",IFERROR(VLOOKUP(F26,COA!A:B,2,FALSE),"-"))</f>
        <v/>
      </c>
      <c r="H26" s="20"/>
    </row>
    <row r="27">
      <c r="A27" s="43"/>
      <c r="D27" s="17"/>
      <c r="E27" s="17" t="str">
        <f>IF(D27="","",IFERROR(VLOOKUP(D27,COA!A:B,2,FALSE),"-"))</f>
        <v/>
      </c>
      <c r="F27" s="17"/>
      <c r="G27" s="17" t="str">
        <f>IF(F27="","",IFERROR(VLOOKUP(F27,COA!A:B,2,FALSE),"-"))</f>
        <v/>
      </c>
      <c r="H27" s="20"/>
    </row>
    <row r="28">
      <c r="A28" s="43"/>
      <c r="D28" s="17"/>
      <c r="E28" s="17" t="str">
        <f>IF(D28="","",IFERROR(VLOOKUP(D28,COA!A:B,2,FALSE),"-"))</f>
        <v/>
      </c>
      <c r="F28" s="17"/>
      <c r="G28" s="17" t="str">
        <f>IF(F28="","",IFERROR(VLOOKUP(F28,COA!A:B,2,FALSE),"-"))</f>
        <v/>
      </c>
      <c r="H28" s="20"/>
    </row>
    <row r="29">
      <c r="A29" s="43"/>
      <c r="D29" s="17"/>
      <c r="E29" s="17" t="str">
        <f>IF(D29="","",IFERROR(VLOOKUP(D29,COA!A:B,2,FALSE),"-"))</f>
        <v/>
      </c>
      <c r="F29" s="17"/>
      <c r="G29" s="17" t="str">
        <f>IF(F29="","",IFERROR(VLOOKUP(F29,COA!A:B,2,FALSE),"-"))</f>
        <v/>
      </c>
      <c r="H29" s="20"/>
    </row>
    <row r="30">
      <c r="A30" s="43"/>
      <c r="D30" s="17"/>
      <c r="E30" s="17" t="str">
        <f>IF(D30="","",IFERROR(VLOOKUP(D30,COA!A:B,2,FALSE),"-"))</f>
        <v/>
      </c>
      <c r="F30" s="17"/>
      <c r="G30" s="17" t="str">
        <f>IF(F30="","",IFERROR(VLOOKUP(F30,COA!A:B,2,FALSE),"-"))</f>
        <v/>
      </c>
      <c r="H30" s="20"/>
    </row>
    <row r="31">
      <c r="A31" s="43"/>
      <c r="D31" s="17"/>
      <c r="E31" s="17" t="str">
        <f>IF(D31="","",IFERROR(VLOOKUP(D31,COA!A:B,2,FALSE),"-"))</f>
        <v/>
      </c>
      <c r="F31" s="17"/>
      <c r="G31" s="17" t="str">
        <f>IF(F31="","",IFERROR(VLOOKUP(F31,COA!A:B,2,FALSE),"-"))</f>
        <v/>
      </c>
      <c r="H31" s="20"/>
    </row>
    <row r="32">
      <c r="A32" s="43"/>
      <c r="D32" s="17"/>
      <c r="E32" s="17" t="str">
        <f>IF(D32="","",IFERROR(VLOOKUP(D32,COA!A:B,2,FALSE),"-"))</f>
        <v/>
      </c>
      <c r="F32" s="17"/>
      <c r="G32" s="17" t="str">
        <f>IF(F32="","",IFERROR(VLOOKUP(F32,COA!A:B,2,FALSE),"-"))</f>
        <v/>
      </c>
      <c r="H32" s="20"/>
    </row>
    <row r="33">
      <c r="A33" s="43"/>
      <c r="D33" s="17"/>
      <c r="E33" s="17" t="str">
        <f>IF(D33="","",IFERROR(VLOOKUP(D33,COA!A:B,2,FALSE),"-"))</f>
        <v/>
      </c>
      <c r="F33" s="17"/>
      <c r="G33" s="17" t="str">
        <f>IF(F33="","",IFERROR(VLOOKUP(F33,COA!A:B,2,FALSE),"-"))</f>
        <v/>
      </c>
      <c r="H33" s="20"/>
    </row>
    <row r="34">
      <c r="A34" s="43"/>
      <c r="D34" s="17"/>
      <c r="E34" s="17" t="str">
        <f>IF(D34="","",IFERROR(VLOOKUP(D34,COA!A:B,2,FALSE),"-"))</f>
        <v/>
      </c>
      <c r="F34" s="17"/>
      <c r="G34" s="17" t="str">
        <f>IF(F34="","",IFERROR(VLOOKUP(F34,COA!A:B,2,FALSE),"-"))</f>
        <v/>
      </c>
      <c r="H34" s="20"/>
    </row>
    <row r="35">
      <c r="A35" s="43"/>
      <c r="D35" s="17"/>
      <c r="E35" s="17" t="str">
        <f>IF(D35="","",IFERROR(VLOOKUP(D35,COA!A:B,2,FALSE),"-"))</f>
        <v/>
      </c>
      <c r="F35" s="17"/>
      <c r="G35" s="17" t="str">
        <f>IF(F35="","",IFERROR(VLOOKUP(F35,COA!A:B,2,FALSE),"-"))</f>
        <v/>
      </c>
      <c r="H35" s="20"/>
    </row>
    <row r="36">
      <c r="A36" s="43"/>
      <c r="D36" s="17"/>
      <c r="E36" s="17" t="str">
        <f>IF(D36="","",IFERROR(VLOOKUP(D36,COA!A:B,2,FALSE),"-"))</f>
        <v/>
      </c>
      <c r="F36" s="17"/>
      <c r="G36" s="17" t="str">
        <f>IF(F36="","",IFERROR(VLOOKUP(F36,COA!A:B,2,FALSE),"-"))</f>
        <v/>
      </c>
      <c r="H36" s="20"/>
    </row>
    <row r="37">
      <c r="A37" s="43"/>
      <c r="D37" s="17"/>
      <c r="E37" s="17" t="str">
        <f>IF(D37="","",IFERROR(VLOOKUP(D37,COA!A:B,2,FALSE),"-"))</f>
        <v/>
      </c>
      <c r="F37" s="17"/>
      <c r="G37" s="17" t="str">
        <f>IF(F37="","",IFERROR(VLOOKUP(F37,COA!A:B,2,FALSE),"-"))</f>
        <v/>
      </c>
      <c r="H37" s="20"/>
    </row>
    <row r="38">
      <c r="A38" s="43"/>
      <c r="D38" s="17"/>
      <c r="E38" s="17" t="str">
        <f>IF(D38="","",IFERROR(VLOOKUP(D38,COA!A:B,2,FALSE),"-"))</f>
        <v/>
      </c>
      <c r="F38" s="17"/>
      <c r="G38" s="17" t="str">
        <f>IF(F38="","",IFERROR(VLOOKUP(F38,COA!A:B,2,FALSE),"-"))</f>
        <v/>
      </c>
      <c r="H38" s="20"/>
    </row>
    <row r="39">
      <c r="A39" s="43"/>
      <c r="D39" s="17"/>
      <c r="E39" s="17" t="str">
        <f>IF(D39="","",IFERROR(VLOOKUP(D39,COA!A:B,2,FALSE),"-"))</f>
        <v/>
      </c>
      <c r="F39" s="17"/>
      <c r="G39" s="17" t="str">
        <f>IF(F39="","",IFERROR(VLOOKUP(F39,COA!A:B,2,FALSE),"-"))</f>
        <v/>
      </c>
      <c r="H39" s="20"/>
    </row>
    <row r="40">
      <c r="A40" s="43"/>
      <c r="D40" s="17"/>
      <c r="E40" s="17" t="str">
        <f>IF(D40="","",IFERROR(VLOOKUP(D40,COA!A:B,2,FALSE),"-"))</f>
        <v/>
      </c>
      <c r="F40" s="17"/>
      <c r="G40" s="17" t="str">
        <f>IF(F40="","",IFERROR(VLOOKUP(F40,COA!A:B,2,FALSE),"-"))</f>
        <v/>
      </c>
      <c r="H40" s="20"/>
    </row>
    <row r="41">
      <c r="A41" s="43"/>
      <c r="D41" s="17"/>
      <c r="E41" s="17" t="str">
        <f>IF(D41="","",IFERROR(VLOOKUP(D41,COA!A:B,2,FALSE),"-"))</f>
        <v/>
      </c>
      <c r="F41" s="17"/>
      <c r="G41" s="17" t="str">
        <f>IF(F41="","",IFERROR(VLOOKUP(F41,COA!A:B,2,FALSE),"-"))</f>
        <v/>
      </c>
      <c r="H41" s="20"/>
    </row>
    <row r="42">
      <c r="A42" s="43"/>
      <c r="D42" s="17"/>
      <c r="E42" s="17" t="str">
        <f>IF(D42="","",IFERROR(VLOOKUP(D42,COA!A:B,2,FALSE),"-"))</f>
        <v/>
      </c>
      <c r="F42" s="17"/>
      <c r="G42" s="17" t="str">
        <f>IF(F42="","",IFERROR(VLOOKUP(F42,COA!A:B,2,FALSE),"-"))</f>
        <v/>
      </c>
      <c r="H42" s="20"/>
    </row>
    <row r="43">
      <c r="A43" s="43"/>
      <c r="D43" s="17"/>
      <c r="E43" s="17" t="str">
        <f>IF(D43="","",IFERROR(VLOOKUP(D43,COA!A:B,2,FALSE),"-"))</f>
        <v/>
      </c>
      <c r="F43" s="17"/>
      <c r="G43" s="17" t="str">
        <f>IF(F43="","",IFERROR(VLOOKUP(F43,COA!A:B,2,FALSE),"-"))</f>
        <v/>
      </c>
      <c r="H43" s="20"/>
    </row>
    <row r="44">
      <c r="A44" s="43"/>
      <c r="D44" s="17"/>
      <c r="E44" s="17" t="str">
        <f>IF(D44="","",IFERROR(VLOOKUP(D44,COA!A:B,2,FALSE),"-"))</f>
        <v/>
      </c>
      <c r="F44" s="17"/>
      <c r="G44" s="17" t="str">
        <f>IF(F44="","",IFERROR(VLOOKUP(F44,COA!A:B,2,FALSE),"-"))</f>
        <v/>
      </c>
      <c r="H44" s="20"/>
    </row>
    <row r="45">
      <c r="A45" s="43"/>
      <c r="D45" s="17"/>
      <c r="E45" s="17" t="str">
        <f>IF(D45="","",IFERROR(VLOOKUP(D45,COA!A:B,2,FALSE),"-"))</f>
        <v/>
      </c>
      <c r="F45" s="17"/>
      <c r="G45" s="17" t="str">
        <f>IF(F45="","",IFERROR(VLOOKUP(F45,COA!A:B,2,FALSE),"-"))</f>
        <v/>
      </c>
      <c r="H45" s="20"/>
    </row>
    <row r="46">
      <c r="A46" s="43"/>
      <c r="D46" s="17"/>
      <c r="E46" s="17" t="str">
        <f>IF(D46="","",IFERROR(VLOOKUP(D46,COA!A:B,2,FALSE),"-"))</f>
        <v/>
      </c>
      <c r="F46" s="17"/>
      <c r="G46" s="17" t="str">
        <f>IF(F46="","",IFERROR(VLOOKUP(F46,COA!A:B,2,FALSE),"-"))</f>
        <v/>
      </c>
      <c r="H46" s="20"/>
    </row>
    <row r="47">
      <c r="A47" s="43"/>
      <c r="D47" s="17"/>
      <c r="E47" s="17" t="str">
        <f>IF(D47="","",IFERROR(VLOOKUP(D47,COA!A:B,2,FALSE),"-"))</f>
        <v/>
      </c>
      <c r="F47" s="17"/>
      <c r="G47" s="17" t="str">
        <f>IF(F47="","",IFERROR(VLOOKUP(F47,COA!A:B,2,FALSE),"-"))</f>
        <v/>
      </c>
      <c r="H47" s="20"/>
    </row>
    <row r="48">
      <c r="A48" s="43"/>
      <c r="D48" s="17"/>
      <c r="E48" s="17" t="str">
        <f>IF(D48="","",IFERROR(VLOOKUP(D48,COA!A:B,2,FALSE),"-"))</f>
        <v/>
      </c>
      <c r="F48" s="17"/>
      <c r="G48" s="17" t="str">
        <f>IF(F48="","",IFERROR(VLOOKUP(F48,COA!A:B,2,FALSE),"-"))</f>
        <v/>
      </c>
      <c r="H48" s="20"/>
    </row>
    <row r="49">
      <c r="A49" s="43"/>
      <c r="D49" s="17"/>
      <c r="E49" s="17" t="str">
        <f>IF(D49="","",IFERROR(VLOOKUP(D49,COA!A:B,2,FALSE),"-"))</f>
        <v/>
      </c>
      <c r="F49" s="17"/>
      <c r="G49" s="17" t="str">
        <f>IF(F49="","",IFERROR(VLOOKUP(F49,COA!A:B,2,FALSE),"-"))</f>
        <v/>
      </c>
      <c r="H49" s="20"/>
    </row>
    <row r="50">
      <c r="A50" s="43"/>
      <c r="D50" s="17"/>
      <c r="E50" s="17" t="str">
        <f>IF(D50="","",IFERROR(VLOOKUP(D50,COA!A:B,2,FALSE),"-"))</f>
        <v/>
      </c>
      <c r="F50" s="17"/>
      <c r="G50" s="17" t="str">
        <f>IF(F50="","",IFERROR(VLOOKUP(F50,COA!A:B,2,FALSE),"-"))</f>
        <v/>
      </c>
      <c r="H50" s="20"/>
    </row>
    <row r="51">
      <c r="A51" s="43"/>
      <c r="D51" s="17"/>
      <c r="E51" s="17" t="str">
        <f>IF(D51="","",IFERROR(VLOOKUP(D51,COA!A:B,2,FALSE),"-"))</f>
        <v/>
      </c>
      <c r="F51" s="17"/>
      <c r="G51" s="17" t="str">
        <f>IF(F51="","",IFERROR(VLOOKUP(F51,COA!A:B,2,FALSE),"-"))</f>
        <v/>
      </c>
      <c r="H51" s="20"/>
    </row>
    <row r="52">
      <c r="A52" s="43"/>
      <c r="D52" s="17"/>
      <c r="E52" s="17" t="str">
        <f>IF(D52="","",IFERROR(VLOOKUP(D52,COA!A:B,2,FALSE),"-"))</f>
        <v/>
      </c>
      <c r="F52" s="17"/>
      <c r="G52" s="17" t="str">
        <f>IF(F52="","",IFERROR(VLOOKUP(F52,COA!A:B,2,FALSE),"-"))</f>
        <v/>
      </c>
      <c r="H52" s="20"/>
    </row>
    <row r="53">
      <c r="A53" s="43"/>
      <c r="D53" s="17"/>
      <c r="E53" s="17" t="str">
        <f>IF(D53="","",IFERROR(VLOOKUP(D53,COA!A:B,2,FALSE),"-"))</f>
        <v/>
      </c>
      <c r="F53" s="17"/>
      <c r="G53" s="17" t="str">
        <f>IF(F53="","",IFERROR(VLOOKUP(F53,COA!A:B,2,FALSE),"-"))</f>
        <v/>
      </c>
      <c r="H53" s="20"/>
    </row>
    <row r="54">
      <c r="A54" s="43"/>
      <c r="D54" s="17"/>
      <c r="E54" s="17" t="str">
        <f>IF(D54="","",IFERROR(VLOOKUP(D54,COA!A:B,2,FALSE),"-"))</f>
        <v/>
      </c>
      <c r="F54" s="17"/>
      <c r="G54" s="17" t="str">
        <f>IF(F54="","",IFERROR(VLOOKUP(F54,COA!A:B,2,FALSE),"-"))</f>
        <v/>
      </c>
      <c r="H54" s="20"/>
    </row>
    <row r="55">
      <c r="A55" s="43"/>
      <c r="D55" s="17"/>
      <c r="E55" s="17" t="str">
        <f>IF(D55="","",IFERROR(VLOOKUP(D55,COA!A:B,2,FALSE),"-"))</f>
        <v/>
      </c>
      <c r="F55" s="17"/>
      <c r="G55" s="17" t="str">
        <f>IF(F55="","",IFERROR(VLOOKUP(F55,COA!A:B,2,FALSE),"-"))</f>
        <v/>
      </c>
      <c r="H55" s="20"/>
    </row>
    <row r="56">
      <c r="A56" s="43"/>
      <c r="D56" s="17"/>
      <c r="E56" s="17" t="str">
        <f>IF(D56="","",IFERROR(VLOOKUP(D56,COA!A:B,2,FALSE),"-"))</f>
        <v/>
      </c>
      <c r="F56" s="17"/>
      <c r="G56" s="17" t="str">
        <f>IF(F56="","",IFERROR(VLOOKUP(F56,COA!A:B,2,FALSE),"-"))</f>
        <v/>
      </c>
      <c r="H56" s="20"/>
    </row>
    <row r="57">
      <c r="A57" s="43"/>
      <c r="D57" s="17"/>
      <c r="E57" s="17" t="str">
        <f>IF(D57="","",IFERROR(VLOOKUP(D57,COA!A:B,2,FALSE),"-"))</f>
        <v/>
      </c>
      <c r="F57" s="17"/>
      <c r="G57" s="17" t="str">
        <f>IF(F57="","",IFERROR(VLOOKUP(F57,COA!A:B,2,FALSE),"-"))</f>
        <v/>
      </c>
      <c r="H57" s="20"/>
    </row>
    <row r="58">
      <c r="A58" s="43"/>
      <c r="D58" s="17"/>
      <c r="E58" s="17" t="str">
        <f>IF(D58="","",IFERROR(VLOOKUP(D58,COA!A:B,2,FALSE),"-"))</f>
        <v/>
      </c>
      <c r="F58" s="17"/>
      <c r="G58" s="17" t="str">
        <f>IF(F58="","",IFERROR(VLOOKUP(F58,COA!A:B,2,FALSE),"-"))</f>
        <v/>
      </c>
      <c r="H58" s="20"/>
    </row>
    <row r="59">
      <c r="A59" s="43"/>
      <c r="D59" s="17"/>
      <c r="E59" s="17" t="str">
        <f>IF(D59="","",IFERROR(VLOOKUP(D59,COA!A:B,2,FALSE),"-"))</f>
        <v/>
      </c>
      <c r="F59" s="17"/>
      <c r="G59" s="17" t="str">
        <f>IF(F59="","",IFERROR(VLOOKUP(F59,COA!A:B,2,FALSE),"-"))</f>
        <v/>
      </c>
      <c r="H59" s="20"/>
    </row>
    <row r="60">
      <c r="A60" s="43"/>
      <c r="D60" s="17"/>
      <c r="E60" s="17" t="str">
        <f>IF(D60="","",IFERROR(VLOOKUP(D60,COA!A:B,2,FALSE),"-"))</f>
        <v/>
      </c>
      <c r="F60" s="17"/>
      <c r="G60" s="17" t="str">
        <f>IF(F60="","",IFERROR(VLOOKUP(F60,COA!A:B,2,FALSE),"-"))</f>
        <v/>
      </c>
      <c r="H60" s="20"/>
    </row>
    <row r="61">
      <c r="A61" s="43"/>
      <c r="D61" s="17"/>
      <c r="E61" s="17" t="str">
        <f>IF(D61="","",IFERROR(VLOOKUP(D61,COA!A:B,2,FALSE),"-"))</f>
        <v/>
      </c>
      <c r="F61" s="17"/>
      <c r="G61" s="17" t="str">
        <f>IF(F61="","",IFERROR(VLOOKUP(F61,COA!A:B,2,FALSE),"-"))</f>
        <v/>
      </c>
      <c r="H61" s="20"/>
    </row>
    <row r="62">
      <c r="A62" s="43"/>
      <c r="D62" s="17"/>
      <c r="E62" s="17" t="str">
        <f>IF(D62="","",IFERROR(VLOOKUP(D62,COA!A:B,2,FALSE),"-"))</f>
        <v/>
      </c>
      <c r="F62" s="17"/>
      <c r="G62" s="17" t="str">
        <f>IF(F62="","",IFERROR(VLOOKUP(F62,COA!A:B,2,FALSE),"-"))</f>
        <v/>
      </c>
      <c r="H62" s="20"/>
    </row>
    <row r="63">
      <c r="A63" s="43"/>
      <c r="D63" s="17"/>
      <c r="E63" s="17" t="str">
        <f>IF(D63="","",IFERROR(VLOOKUP(D63,COA!A:B,2,FALSE),"-"))</f>
        <v/>
      </c>
      <c r="F63" s="17"/>
      <c r="G63" s="17" t="str">
        <f>IF(F63="","",IFERROR(VLOOKUP(F63,COA!A:B,2,FALSE),"-"))</f>
        <v/>
      </c>
      <c r="H63" s="20"/>
    </row>
    <row r="64">
      <c r="A64" s="43"/>
      <c r="D64" s="17"/>
      <c r="E64" s="17" t="str">
        <f>IF(D64="","",IFERROR(VLOOKUP(D64,COA!A:B,2,FALSE),"-"))</f>
        <v/>
      </c>
      <c r="F64" s="17"/>
      <c r="G64" s="17" t="str">
        <f>IF(F64="","",IFERROR(VLOOKUP(F64,COA!A:B,2,FALSE),"-"))</f>
        <v/>
      </c>
      <c r="H64" s="20"/>
    </row>
    <row r="65">
      <c r="A65" s="43"/>
      <c r="D65" s="17"/>
      <c r="E65" s="17" t="str">
        <f>IF(D65="","",IFERROR(VLOOKUP(D65,COA!A:B,2,FALSE),"-"))</f>
        <v/>
      </c>
      <c r="F65" s="17"/>
      <c r="G65" s="17" t="str">
        <f>IF(F65="","",IFERROR(VLOOKUP(F65,COA!A:B,2,FALSE),"-"))</f>
        <v/>
      </c>
      <c r="H65" s="20"/>
    </row>
    <row r="66">
      <c r="A66" s="43"/>
      <c r="D66" s="17"/>
      <c r="E66" s="17" t="str">
        <f>IF(D66="","",IFERROR(VLOOKUP(D66,COA!A:B,2,FALSE),"-"))</f>
        <v/>
      </c>
      <c r="F66" s="17"/>
      <c r="G66" s="17" t="str">
        <f>IF(F66="","",IFERROR(VLOOKUP(F66,COA!A:B,2,FALSE),"-"))</f>
        <v/>
      </c>
      <c r="H66" s="20"/>
    </row>
    <row r="67">
      <c r="A67" s="43"/>
      <c r="D67" s="17"/>
      <c r="E67" s="17" t="str">
        <f>IF(D67="","",IFERROR(VLOOKUP(D67,COA!A:B,2,FALSE),"-"))</f>
        <v/>
      </c>
      <c r="F67" s="17"/>
      <c r="G67" s="17" t="str">
        <f>IF(F67="","",IFERROR(VLOOKUP(F67,COA!A:B,2,FALSE),"-"))</f>
        <v/>
      </c>
      <c r="H67" s="20"/>
    </row>
    <row r="68">
      <c r="A68" s="43"/>
      <c r="D68" s="17"/>
      <c r="E68" s="17" t="str">
        <f>IF(D68="","",IFERROR(VLOOKUP(D68,COA!A:B,2,FALSE),"-"))</f>
        <v/>
      </c>
      <c r="F68" s="17"/>
      <c r="G68" s="17" t="str">
        <f>IF(F68="","",IFERROR(VLOOKUP(F68,COA!A:B,2,FALSE),"-"))</f>
        <v/>
      </c>
      <c r="H68" s="20"/>
    </row>
    <row r="69">
      <c r="A69" s="43"/>
      <c r="D69" s="17"/>
      <c r="E69" s="17" t="str">
        <f>IF(D69="","",IFERROR(VLOOKUP(D69,COA!A:B,2,FALSE),"-"))</f>
        <v/>
      </c>
      <c r="F69" s="17"/>
      <c r="G69" s="17" t="str">
        <f>IF(F69="","",IFERROR(VLOOKUP(F69,COA!A:B,2,FALSE),"-"))</f>
        <v/>
      </c>
      <c r="H69" s="20"/>
    </row>
    <row r="70">
      <c r="A70" s="43"/>
      <c r="D70" s="17"/>
      <c r="E70" s="17" t="str">
        <f>IF(D70="","",IFERROR(VLOOKUP(D70,COA!A:B,2,FALSE),"-"))</f>
        <v/>
      </c>
      <c r="F70" s="17"/>
      <c r="G70" s="17" t="str">
        <f>IF(F70="","",IFERROR(VLOOKUP(F70,COA!A:B,2,FALSE),"-"))</f>
        <v/>
      </c>
      <c r="H70" s="20"/>
    </row>
    <row r="71">
      <c r="A71" s="43"/>
      <c r="D71" s="17"/>
      <c r="E71" s="17" t="str">
        <f>IF(D71="","",IFERROR(VLOOKUP(D71,COA!A:B,2,FALSE),"-"))</f>
        <v/>
      </c>
      <c r="F71" s="17"/>
      <c r="G71" s="17" t="str">
        <f>IF(F71="","",IFERROR(VLOOKUP(F71,COA!A:B,2,FALSE),"-"))</f>
        <v/>
      </c>
      <c r="H71" s="20"/>
    </row>
    <row r="72">
      <c r="A72" s="43"/>
      <c r="D72" s="17"/>
      <c r="E72" s="17" t="str">
        <f>IF(D72="","",IFERROR(VLOOKUP(D72,COA!A:B,2,FALSE),"-"))</f>
        <v/>
      </c>
      <c r="F72" s="17"/>
      <c r="G72" s="17" t="str">
        <f>IF(F72="","",IFERROR(VLOOKUP(F72,COA!A:B,2,FALSE),"-"))</f>
        <v/>
      </c>
      <c r="H72" s="20"/>
    </row>
    <row r="73">
      <c r="A73" s="43"/>
      <c r="D73" s="17"/>
      <c r="E73" s="17" t="str">
        <f>IF(D73="","",IFERROR(VLOOKUP(D73,COA!A:B,2,FALSE),"-"))</f>
        <v/>
      </c>
      <c r="F73" s="17"/>
      <c r="G73" s="17" t="str">
        <f>IF(F73="","",IFERROR(VLOOKUP(F73,COA!A:B,2,FALSE),"-"))</f>
        <v/>
      </c>
      <c r="H73" s="20"/>
    </row>
    <row r="74">
      <c r="A74" s="43"/>
      <c r="D74" s="17"/>
      <c r="E74" s="17" t="str">
        <f>IF(D74="","",IFERROR(VLOOKUP(D74,COA!A:B,2,FALSE),"-"))</f>
        <v/>
      </c>
      <c r="F74" s="17"/>
      <c r="G74" s="17" t="str">
        <f>IF(F74="","",IFERROR(VLOOKUP(F74,COA!A:B,2,FALSE),"-"))</f>
        <v/>
      </c>
      <c r="H74" s="20"/>
    </row>
    <row r="75">
      <c r="A75" s="43"/>
      <c r="D75" s="17"/>
      <c r="E75" s="17" t="str">
        <f>IF(D75="","",IFERROR(VLOOKUP(D75,COA!A:B,2,FALSE),"-"))</f>
        <v/>
      </c>
      <c r="F75" s="17"/>
      <c r="G75" s="17" t="str">
        <f>IF(F75="","",IFERROR(VLOOKUP(F75,COA!A:B,2,FALSE),"-"))</f>
        <v/>
      </c>
      <c r="H75" s="20"/>
    </row>
    <row r="76">
      <c r="A76" s="43"/>
      <c r="D76" s="17"/>
      <c r="E76" s="17" t="str">
        <f>IF(D76="","",IFERROR(VLOOKUP(D76,COA!A:B,2,FALSE),"-"))</f>
        <v/>
      </c>
      <c r="F76" s="17"/>
      <c r="G76" s="17" t="str">
        <f>IF(F76="","",IFERROR(VLOOKUP(F76,COA!A:B,2,FALSE),"-"))</f>
        <v/>
      </c>
      <c r="H76" s="20"/>
    </row>
    <row r="77">
      <c r="A77" s="43"/>
      <c r="D77" s="17"/>
      <c r="E77" s="17" t="str">
        <f>IF(D77="","",IFERROR(VLOOKUP(D77,COA!A:B,2,FALSE),"-"))</f>
        <v/>
      </c>
      <c r="F77" s="17"/>
      <c r="G77" s="17" t="str">
        <f>IF(F77="","",IFERROR(VLOOKUP(F77,COA!A:B,2,FALSE),"-"))</f>
        <v/>
      </c>
      <c r="H77" s="20"/>
    </row>
    <row r="78">
      <c r="A78" s="43"/>
      <c r="D78" s="17"/>
      <c r="E78" s="17" t="str">
        <f>IF(D78="","",IFERROR(VLOOKUP(D78,COA!A:B,2,FALSE),"-"))</f>
        <v/>
      </c>
      <c r="F78" s="17"/>
      <c r="G78" s="17" t="str">
        <f>IF(F78="","",IFERROR(VLOOKUP(F78,COA!A:B,2,FALSE),"-"))</f>
        <v/>
      </c>
      <c r="H78" s="20"/>
    </row>
    <row r="79">
      <c r="A79" s="43"/>
      <c r="D79" s="17"/>
      <c r="E79" s="17" t="str">
        <f>IF(D79="","",IFERROR(VLOOKUP(D79,COA!A:B,2,FALSE),"-"))</f>
        <v/>
      </c>
      <c r="F79" s="17"/>
      <c r="G79" s="17" t="str">
        <f>IF(F79="","",IFERROR(VLOOKUP(F79,COA!A:B,2,FALSE),"-"))</f>
        <v/>
      </c>
      <c r="H79" s="20"/>
    </row>
    <row r="80">
      <c r="A80" s="43"/>
      <c r="D80" s="17"/>
      <c r="E80" s="17" t="str">
        <f>IF(D80="","",IFERROR(VLOOKUP(D80,COA!A:B,2,FALSE),"-"))</f>
        <v/>
      </c>
      <c r="F80" s="17"/>
      <c r="G80" s="17" t="str">
        <f>IF(F80="","",IFERROR(VLOOKUP(F80,COA!A:B,2,FALSE),"-"))</f>
        <v/>
      </c>
      <c r="H80" s="20"/>
    </row>
    <row r="81">
      <c r="A81" s="43"/>
      <c r="D81" s="17"/>
      <c r="E81" s="17" t="str">
        <f>IF(D81="","",IFERROR(VLOOKUP(D81,COA!A:B,2,FALSE),"-"))</f>
        <v/>
      </c>
      <c r="F81" s="17"/>
      <c r="G81" s="17" t="str">
        <f>IF(F81="","",IFERROR(VLOOKUP(F81,COA!A:B,2,FALSE),"-"))</f>
        <v/>
      </c>
      <c r="H81" s="20"/>
    </row>
    <row r="82">
      <c r="A82" s="43"/>
      <c r="D82" s="17"/>
      <c r="E82" s="17" t="str">
        <f>IF(D82="","",IFERROR(VLOOKUP(D82,COA!A:B,2,FALSE),"-"))</f>
        <v/>
      </c>
      <c r="F82" s="17"/>
      <c r="G82" s="17" t="str">
        <f>IF(F82="","",IFERROR(VLOOKUP(F82,COA!A:B,2,FALSE),"-"))</f>
        <v/>
      </c>
      <c r="H82" s="20"/>
    </row>
    <row r="83">
      <c r="A83" s="43"/>
      <c r="D83" s="17"/>
      <c r="E83" s="17" t="str">
        <f>IF(D83="","",IFERROR(VLOOKUP(D83,COA!A:B,2,FALSE),"-"))</f>
        <v/>
      </c>
      <c r="F83" s="17"/>
      <c r="G83" s="17" t="str">
        <f>IF(F83="","",IFERROR(VLOOKUP(F83,COA!A:B,2,FALSE),"-"))</f>
        <v/>
      </c>
      <c r="H83" s="20"/>
    </row>
    <row r="84">
      <c r="A84" s="43"/>
      <c r="D84" s="17"/>
      <c r="E84" s="17" t="str">
        <f>IF(D84="","",IFERROR(VLOOKUP(D84,COA!A:B,2,FALSE),"-"))</f>
        <v/>
      </c>
      <c r="F84" s="17"/>
      <c r="G84" s="17" t="str">
        <f>IF(F84="","",IFERROR(VLOOKUP(F84,COA!A:B,2,FALSE),"-"))</f>
        <v/>
      </c>
      <c r="H84" s="20"/>
    </row>
    <row r="85">
      <c r="A85" s="43"/>
      <c r="D85" s="17"/>
      <c r="E85" s="17" t="str">
        <f>IF(D85="","",IFERROR(VLOOKUP(D85,COA!A:B,2,FALSE),"-"))</f>
        <v/>
      </c>
      <c r="F85" s="17"/>
      <c r="G85" s="17" t="str">
        <f>IF(F85="","",IFERROR(VLOOKUP(F85,COA!A:B,2,FALSE),"-"))</f>
        <v/>
      </c>
      <c r="H85" s="20"/>
    </row>
    <row r="86">
      <c r="A86" s="43"/>
      <c r="D86" s="17"/>
      <c r="E86" s="17" t="str">
        <f>IF(D86="","",IFERROR(VLOOKUP(D86,COA!A:B,2,FALSE),"-"))</f>
        <v/>
      </c>
      <c r="F86" s="17"/>
      <c r="G86" s="17" t="str">
        <f>IF(F86="","",IFERROR(VLOOKUP(F86,COA!A:B,2,FALSE),"-"))</f>
        <v/>
      </c>
      <c r="H86" s="20"/>
    </row>
    <row r="87">
      <c r="A87" s="43"/>
      <c r="D87" s="17"/>
      <c r="E87" s="17" t="str">
        <f>IF(D87="","",IFERROR(VLOOKUP(D87,COA!A:B,2,FALSE),"-"))</f>
        <v/>
      </c>
      <c r="F87" s="17"/>
      <c r="G87" s="17" t="str">
        <f>IF(F87="","",IFERROR(VLOOKUP(F87,COA!A:B,2,FALSE),"-"))</f>
        <v/>
      </c>
      <c r="H87" s="20"/>
    </row>
    <row r="88">
      <c r="A88" s="43"/>
      <c r="D88" s="17"/>
      <c r="E88" s="17" t="str">
        <f>IF(D88="","",IFERROR(VLOOKUP(D88,COA!A:B,2,FALSE),"-"))</f>
        <v/>
      </c>
      <c r="F88" s="17"/>
      <c r="G88" s="17" t="str">
        <f>IF(F88="","",IFERROR(VLOOKUP(F88,COA!A:B,2,FALSE),"-"))</f>
        <v/>
      </c>
      <c r="H88" s="20"/>
    </row>
    <row r="89">
      <c r="A89" s="43"/>
      <c r="D89" s="17"/>
      <c r="E89" s="17" t="str">
        <f>IF(D89="","",IFERROR(VLOOKUP(D89,COA!A:B,2,FALSE),"-"))</f>
        <v/>
      </c>
      <c r="F89" s="17"/>
      <c r="G89" s="17" t="str">
        <f>IF(F89="","",IFERROR(VLOOKUP(F89,COA!A:B,2,FALSE),"-"))</f>
        <v/>
      </c>
      <c r="H89" s="20"/>
    </row>
    <row r="90">
      <c r="A90" s="43"/>
      <c r="D90" s="17"/>
      <c r="E90" s="17" t="str">
        <f>IF(D90="","",IFERROR(VLOOKUP(D90,COA!A:B,2,FALSE),"-"))</f>
        <v/>
      </c>
      <c r="F90" s="17"/>
      <c r="G90" s="17" t="str">
        <f>IF(F90="","",IFERROR(VLOOKUP(F90,COA!A:B,2,FALSE),"-"))</f>
        <v/>
      </c>
      <c r="H90" s="20"/>
    </row>
    <row r="91">
      <c r="A91" s="43"/>
      <c r="D91" s="17"/>
      <c r="E91" s="17" t="str">
        <f>IF(D91="","",IFERROR(VLOOKUP(D91,COA!A:B,2,FALSE),"-"))</f>
        <v/>
      </c>
      <c r="F91" s="17"/>
      <c r="G91" s="17" t="str">
        <f>IF(F91="","",IFERROR(VLOOKUP(F91,COA!A:B,2,FALSE),"-"))</f>
        <v/>
      </c>
      <c r="H91" s="20"/>
    </row>
    <row r="92">
      <c r="A92" s="43"/>
      <c r="D92" s="17"/>
      <c r="E92" s="17" t="str">
        <f>IF(D92="","",IFERROR(VLOOKUP(D92,COA!A:B,2,FALSE),"-"))</f>
        <v/>
      </c>
      <c r="F92" s="17"/>
      <c r="G92" s="17" t="str">
        <f>IF(F92="","",IFERROR(VLOOKUP(F92,COA!A:B,2,FALSE),"-"))</f>
        <v/>
      </c>
      <c r="H92" s="20"/>
    </row>
    <row r="93">
      <c r="A93" s="43"/>
      <c r="D93" s="17"/>
      <c r="E93" s="17" t="str">
        <f>IF(D93="","",IFERROR(VLOOKUP(D93,COA!A:B,2,FALSE),"-"))</f>
        <v/>
      </c>
      <c r="F93" s="17"/>
      <c r="G93" s="17" t="str">
        <f>IF(F93="","",IFERROR(VLOOKUP(F93,COA!A:B,2,FALSE),"-"))</f>
        <v/>
      </c>
      <c r="H93" s="20"/>
    </row>
    <row r="94">
      <c r="A94" s="43"/>
      <c r="D94" s="17"/>
      <c r="E94" s="17" t="str">
        <f>IF(D94="","",IFERROR(VLOOKUP(D94,COA!A:B,2,FALSE),"-"))</f>
        <v/>
      </c>
      <c r="F94" s="17"/>
      <c r="G94" s="17" t="str">
        <f>IF(F94="","",IFERROR(VLOOKUP(F94,COA!A:B,2,FALSE),"-"))</f>
        <v/>
      </c>
      <c r="H94" s="20"/>
    </row>
    <row r="95">
      <c r="A95" s="43"/>
      <c r="D95" s="17"/>
      <c r="E95" s="17" t="str">
        <f>IF(D95="","",IFERROR(VLOOKUP(D95,COA!A:B,2,FALSE),"-"))</f>
        <v/>
      </c>
      <c r="F95" s="17"/>
      <c r="G95" s="17" t="str">
        <f>IF(F95="","",IFERROR(VLOOKUP(F95,COA!A:B,2,FALSE),"-"))</f>
        <v/>
      </c>
      <c r="H95" s="20"/>
    </row>
    <row r="96">
      <c r="A96" s="43"/>
      <c r="D96" s="17"/>
      <c r="E96" s="17" t="str">
        <f>IF(D96="","",IFERROR(VLOOKUP(D96,COA!A:B,2,FALSE),"-"))</f>
        <v/>
      </c>
      <c r="F96" s="17"/>
      <c r="G96" s="17" t="str">
        <f>IF(F96="","",IFERROR(VLOOKUP(F96,COA!A:B,2,FALSE),"-"))</f>
        <v/>
      </c>
      <c r="H96" s="20"/>
    </row>
    <row r="97">
      <c r="A97" s="43"/>
      <c r="D97" s="17"/>
      <c r="E97" s="17" t="str">
        <f>IF(D97="","",IFERROR(VLOOKUP(D97,COA!A:B,2,FALSE),"-"))</f>
        <v/>
      </c>
      <c r="F97" s="17"/>
      <c r="G97" s="17" t="str">
        <f>IF(F97="","",IFERROR(VLOOKUP(F97,COA!A:B,2,FALSE),"-"))</f>
        <v/>
      </c>
      <c r="H97" s="20"/>
    </row>
    <row r="98">
      <c r="A98" s="43"/>
      <c r="D98" s="17"/>
      <c r="E98" s="17" t="str">
        <f>IF(D98="","",IFERROR(VLOOKUP(D98,COA!A:B,2,FALSE),"-"))</f>
        <v/>
      </c>
      <c r="F98" s="17"/>
      <c r="G98" s="17" t="str">
        <f>IF(F98="","",IFERROR(VLOOKUP(F98,COA!A:B,2,FALSE),"-"))</f>
        <v/>
      </c>
      <c r="H98" s="20"/>
    </row>
    <row r="99">
      <c r="A99" s="43"/>
      <c r="D99" s="17"/>
      <c r="E99" s="17" t="str">
        <f>IF(D99="","",IFERROR(VLOOKUP(D99,COA!A:B,2,FALSE),"-"))</f>
        <v/>
      </c>
      <c r="F99" s="17"/>
      <c r="G99" s="17" t="str">
        <f>IF(F99="","",IFERROR(VLOOKUP(F99,COA!A:B,2,FALSE),"-"))</f>
        <v/>
      </c>
      <c r="H99" s="20"/>
    </row>
    <row r="100">
      <c r="A100" s="43"/>
      <c r="D100" s="17"/>
      <c r="E100" s="17" t="str">
        <f>IF(D100="","",IFERROR(VLOOKUP(D100,COA!A:B,2,FALSE),"-"))</f>
        <v/>
      </c>
      <c r="F100" s="17"/>
      <c r="G100" s="17" t="str">
        <f>IF(F100="","",IFERROR(VLOOKUP(F100,COA!A:B,2,FALSE),"-"))</f>
        <v/>
      </c>
      <c r="H100" s="20"/>
    </row>
    <row r="101">
      <c r="A101" s="43"/>
      <c r="D101" s="17"/>
      <c r="E101" s="17" t="str">
        <f>IF(D101="","",IFERROR(VLOOKUP(D101,COA!A:B,2,FALSE),"-"))</f>
        <v/>
      </c>
      <c r="F101" s="17"/>
      <c r="G101" s="17" t="str">
        <f>IF(F101="","",IFERROR(VLOOKUP(F101,COA!A:B,2,FALSE),"-"))</f>
        <v/>
      </c>
      <c r="H101" s="20"/>
    </row>
    <row r="102">
      <c r="A102" s="43"/>
      <c r="D102" s="17"/>
      <c r="E102" s="17" t="str">
        <f>IF(D102="","",IFERROR(VLOOKUP(D102,COA!A:B,2,FALSE),"-"))</f>
        <v/>
      </c>
      <c r="F102" s="17"/>
      <c r="G102" s="17" t="str">
        <f>IF(F102="","",IFERROR(VLOOKUP(F102,COA!A:B,2,FALSE),"-"))</f>
        <v/>
      </c>
      <c r="H102" s="20"/>
    </row>
    <row r="103">
      <c r="A103" s="43"/>
      <c r="D103" s="17"/>
      <c r="E103" s="17" t="str">
        <f>IF(D103="","",IFERROR(VLOOKUP(D103,COA!A:B,2,FALSE),"-"))</f>
        <v/>
      </c>
      <c r="F103" s="17"/>
      <c r="G103" s="17" t="str">
        <f>IF(F103="","",IFERROR(VLOOKUP(F103,COA!A:B,2,FALSE),"-"))</f>
        <v/>
      </c>
      <c r="H103" s="20"/>
    </row>
    <row r="104">
      <c r="A104" s="43"/>
      <c r="D104" s="17"/>
      <c r="E104" s="17" t="str">
        <f>IF(D104="","",IFERROR(VLOOKUP(D104,COA!A:B,2,FALSE),"-"))</f>
        <v/>
      </c>
      <c r="F104" s="17"/>
      <c r="G104" s="17" t="str">
        <f>IF(F104="","",IFERROR(VLOOKUP(F104,COA!A:B,2,FALSE),"-"))</f>
        <v/>
      </c>
      <c r="H104" s="20"/>
    </row>
    <row r="105">
      <c r="A105" s="43"/>
      <c r="D105" s="17"/>
      <c r="E105" s="17" t="str">
        <f>IF(D105="","",IFERROR(VLOOKUP(D105,COA!A:B,2,FALSE),"-"))</f>
        <v/>
      </c>
      <c r="F105" s="17"/>
      <c r="G105" s="17" t="str">
        <f>IF(F105="","",IFERROR(VLOOKUP(F105,COA!A:B,2,FALSE),"-"))</f>
        <v/>
      </c>
      <c r="H105" s="20"/>
    </row>
    <row r="106">
      <c r="A106" s="43"/>
      <c r="D106" s="17"/>
      <c r="E106" s="17" t="str">
        <f>IF(D106="","",IFERROR(VLOOKUP(D106,COA!A:B,2,FALSE),"-"))</f>
        <v/>
      </c>
      <c r="F106" s="17"/>
      <c r="G106" s="17" t="str">
        <f>IF(F106="","",IFERROR(VLOOKUP(F106,COA!A:B,2,FALSE),"-"))</f>
        <v/>
      </c>
      <c r="H106" s="20"/>
    </row>
    <row r="107">
      <c r="A107" s="43"/>
      <c r="D107" s="17"/>
      <c r="E107" s="17" t="str">
        <f>IF(D107="","",IFERROR(VLOOKUP(D107,COA!A:B,2,FALSE),"-"))</f>
        <v/>
      </c>
      <c r="F107" s="17"/>
      <c r="G107" s="17" t="str">
        <f>IF(F107="","",IFERROR(VLOOKUP(F107,COA!A:B,2,FALSE),"-"))</f>
        <v/>
      </c>
      <c r="H107" s="20"/>
    </row>
    <row r="108">
      <c r="A108" s="43"/>
      <c r="D108" s="17"/>
      <c r="E108" s="17" t="str">
        <f>IF(D108="","",IFERROR(VLOOKUP(D108,COA!A:B,2,FALSE),"-"))</f>
        <v/>
      </c>
      <c r="F108" s="17"/>
      <c r="G108" s="17" t="str">
        <f>IF(F108="","",IFERROR(VLOOKUP(F108,COA!A:B,2,FALSE),"-"))</f>
        <v/>
      </c>
      <c r="H108" s="20"/>
    </row>
    <row r="109">
      <c r="A109" s="43"/>
      <c r="D109" s="17"/>
      <c r="E109" s="17" t="str">
        <f>IF(D109="","",IFERROR(VLOOKUP(D109,COA!A:B,2,FALSE),"-"))</f>
        <v/>
      </c>
      <c r="F109" s="17"/>
      <c r="G109" s="17" t="str">
        <f>IF(F109="","",IFERROR(VLOOKUP(F109,COA!A:B,2,FALSE),"-"))</f>
        <v/>
      </c>
      <c r="H109" s="20"/>
    </row>
    <row r="110">
      <c r="A110" s="43"/>
      <c r="D110" s="17"/>
      <c r="E110" s="17" t="str">
        <f>IF(D110="","",IFERROR(VLOOKUP(D110,COA!A:B,2,FALSE),"-"))</f>
        <v/>
      </c>
      <c r="F110" s="17"/>
      <c r="G110" s="17" t="str">
        <f>IF(F110="","",IFERROR(VLOOKUP(F110,COA!A:B,2,FALSE),"-"))</f>
        <v/>
      </c>
      <c r="H110" s="20"/>
    </row>
    <row r="111">
      <c r="A111" s="43"/>
      <c r="D111" s="17"/>
      <c r="E111" s="17" t="str">
        <f>IF(D111="","",IFERROR(VLOOKUP(D111,COA!A:B,2,FALSE),"-"))</f>
        <v/>
      </c>
      <c r="F111" s="17"/>
      <c r="G111" s="17" t="str">
        <f>IF(F111="","",IFERROR(VLOOKUP(F111,COA!A:B,2,FALSE),"-"))</f>
        <v/>
      </c>
      <c r="H111" s="20"/>
    </row>
    <row r="112">
      <c r="A112" s="43"/>
      <c r="D112" s="17"/>
      <c r="E112" s="17" t="str">
        <f>IF(D112="","",IFERROR(VLOOKUP(D112,COA!A:B,2,FALSE),"-"))</f>
        <v/>
      </c>
      <c r="F112" s="17"/>
      <c r="G112" s="17" t="str">
        <f>IF(F112="","",IFERROR(VLOOKUP(F112,COA!A:B,2,FALSE),"-"))</f>
        <v/>
      </c>
      <c r="H112" s="20"/>
    </row>
    <row r="113">
      <c r="A113" s="43"/>
      <c r="D113" s="17"/>
      <c r="E113" s="17" t="str">
        <f>IF(D113="","",IFERROR(VLOOKUP(D113,COA!A:B,2,FALSE),"-"))</f>
        <v/>
      </c>
      <c r="F113" s="17"/>
      <c r="G113" s="17" t="str">
        <f>IF(F113="","",IFERROR(VLOOKUP(F113,COA!A:B,2,FALSE),"-"))</f>
        <v/>
      </c>
      <c r="H113" s="20"/>
    </row>
    <row r="114">
      <c r="A114" s="43"/>
      <c r="D114" s="17"/>
      <c r="E114" s="17" t="str">
        <f>IF(D114="","",IFERROR(VLOOKUP(D114,COA!A:B,2,FALSE),"-"))</f>
        <v/>
      </c>
      <c r="F114" s="17"/>
      <c r="G114" s="17" t="str">
        <f>IF(F114="","",IFERROR(VLOOKUP(F114,COA!A:B,2,FALSE),"-"))</f>
        <v/>
      </c>
      <c r="H114" s="20"/>
    </row>
    <row r="115">
      <c r="A115" s="43"/>
      <c r="D115" s="17"/>
      <c r="E115" s="17" t="str">
        <f>IF(D115="","",IFERROR(VLOOKUP(D115,COA!A:B,2,FALSE),"-"))</f>
        <v/>
      </c>
      <c r="F115" s="17"/>
      <c r="G115" s="17" t="str">
        <f>IF(F115="","",IFERROR(VLOOKUP(F115,COA!A:B,2,FALSE),"-"))</f>
        <v/>
      </c>
      <c r="H115" s="20"/>
    </row>
    <row r="116">
      <c r="A116" s="43"/>
      <c r="D116" s="17"/>
      <c r="E116" s="17" t="str">
        <f>IF(D116="","",IFERROR(VLOOKUP(D116,COA!A:B,2,FALSE),"-"))</f>
        <v/>
      </c>
      <c r="F116" s="17"/>
      <c r="G116" s="17" t="str">
        <f>IF(F116="","",IFERROR(VLOOKUP(F116,COA!A:B,2,FALSE),"-"))</f>
        <v/>
      </c>
      <c r="H116" s="20"/>
    </row>
    <row r="117">
      <c r="A117" s="43"/>
      <c r="D117" s="17"/>
      <c r="E117" s="17" t="str">
        <f>IF(D117="","",IFERROR(VLOOKUP(D117,COA!A:B,2,FALSE),"-"))</f>
        <v/>
      </c>
      <c r="F117" s="17"/>
      <c r="G117" s="17" t="str">
        <f>IF(F117="","",IFERROR(VLOOKUP(F117,COA!A:B,2,FALSE),"-"))</f>
        <v/>
      </c>
      <c r="H117" s="20"/>
    </row>
    <row r="118">
      <c r="A118" s="43"/>
      <c r="D118" s="17"/>
      <c r="E118" s="17" t="str">
        <f>IF(D118="","",IFERROR(VLOOKUP(D118,COA!A:B,2,FALSE),"-"))</f>
        <v/>
      </c>
      <c r="F118" s="17"/>
      <c r="G118" s="17" t="str">
        <f>IF(F118="","",IFERROR(VLOOKUP(F118,COA!A:B,2,FALSE),"-"))</f>
        <v/>
      </c>
      <c r="H118" s="20"/>
    </row>
    <row r="119">
      <c r="A119" s="43"/>
      <c r="D119" s="17"/>
      <c r="E119" s="17" t="str">
        <f>IF(D119="","",IFERROR(VLOOKUP(D119,COA!A:B,2,FALSE),"-"))</f>
        <v/>
      </c>
      <c r="F119" s="17"/>
      <c r="G119" s="17" t="str">
        <f>IF(F119="","",IFERROR(VLOOKUP(F119,COA!A:B,2,FALSE),"-"))</f>
        <v/>
      </c>
      <c r="H119" s="20"/>
    </row>
    <row r="120">
      <c r="A120" s="43"/>
      <c r="D120" s="17"/>
      <c r="E120" s="17" t="str">
        <f>IF(D120="","",IFERROR(VLOOKUP(D120,COA!A:B,2,FALSE),"-"))</f>
        <v/>
      </c>
      <c r="F120" s="17"/>
      <c r="G120" s="17" t="str">
        <f>IF(F120="","",IFERROR(VLOOKUP(F120,COA!A:B,2,FALSE),"-"))</f>
        <v/>
      </c>
      <c r="H120" s="20"/>
    </row>
    <row r="121">
      <c r="A121" s="43"/>
      <c r="D121" s="17"/>
      <c r="E121" s="17" t="str">
        <f>IF(D121="","",IFERROR(VLOOKUP(D121,COA!A:B,2,FALSE),"-"))</f>
        <v/>
      </c>
      <c r="F121" s="17"/>
      <c r="G121" s="17" t="str">
        <f>IF(F121="","",IFERROR(VLOOKUP(F121,COA!A:B,2,FALSE),"-"))</f>
        <v/>
      </c>
      <c r="H121" s="20"/>
    </row>
    <row r="122">
      <c r="A122" s="43"/>
      <c r="D122" s="17"/>
      <c r="E122" s="17" t="str">
        <f>IF(D122="","",IFERROR(VLOOKUP(D122,COA!A:B,2,FALSE),"-"))</f>
        <v/>
      </c>
      <c r="F122" s="17"/>
      <c r="G122" s="17" t="str">
        <f>IF(F122="","",IFERROR(VLOOKUP(F122,COA!A:B,2,FALSE),"-"))</f>
        <v/>
      </c>
      <c r="H122" s="20"/>
    </row>
    <row r="123">
      <c r="A123" s="43"/>
      <c r="D123" s="17"/>
      <c r="E123" s="17" t="str">
        <f>IF(D123="","",IFERROR(VLOOKUP(D123,COA!A:B,2,FALSE),"-"))</f>
        <v/>
      </c>
      <c r="F123" s="17"/>
      <c r="G123" s="17" t="str">
        <f>IF(F123="","",IFERROR(VLOOKUP(F123,COA!A:B,2,FALSE),"-"))</f>
        <v/>
      </c>
      <c r="H123" s="20"/>
    </row>
    <row r="124">
      <c r="A124" s="43"/>
      <c r="D124" s="17"/>
      <c r="E124" s="17" t="str">
        <f>IF(D124="","",IFERROR(VLOOKUP(D124,COA!A:B,2,FALSE),"-"))</f>
        <v/>
      </c>
      <c r="F124" s="17"/>
      <c r="G124" s="17" t="str">
        <f>IF(F124="","",IFERROR(VLOOKUP(F124,COA!A:B,2,FALSE),"-"))</f>
        <v/>
      </c>
      <c r="H124" s="20"/>
    </row>
    <row r="125">
      <c r="A125" s="43"/>
      <c r="D125" s="17"/>
      <c r="E125" s="17" t="str">
        <f>IF(D125="","",IFERROR(VLOOKUP(D125,COA!A:B,2,FALSE),"-"))</f>
        <v/>
      </c>
      <c r="F125" s="17"/>
      <c r="G125" s="17" t="str">
        <f>IF(F125="","",IFERROR(VLOOKUP(F125,COA!A:B,2,FALSE),"-"))</f>
        <v/>
      </c>
      <c r="H125" s="20"/>
    </row>
    <row r="126">
      <c r="A126" s="43"/>
      <c r="D126" s="17"/>
      <c r="E126" s="17" t="str">
        <f>IF(D126="","",IFERROR(VLOOKUP(D126,COA!A:B,2,FALSE),"-"))</f>
        <v/>
      </c>
      <c r="F126" s="17"/>
      <c r="G126" s="17" t="str">
        <f>IF(F126="","",IFERROR(VLOOKUP(F126,COA!A:B,2,FALSE),"-"))</f>
        <v/>
      </c>
      <c r="H126" s="20"/>
    </row>
    <row r="127">
      <c r="A127" s="43"/>
      <c r="D127" s="17"/>
      <c r="E127" s="17" t="str">
        <f>IF(D127="","",IFERROR(VLOOKUP(D127,COA!A:B,2,FALSE),"-"))</f>
        <v/>
      </c>
      <c r="F127" s="17"/>
      <c r="G127" s="17" t="str">
        <f>IF(F127="","",IFERROR(VLOOKUP(F127,COA!A:B,2,FALSE),"-"))</f>
        <v/>
      </c>
      <c r="H127" s="20"/>
    </row>
    <row r="128">
      <c r="A128" s="43"/>
      <c r="D128" s="17"/>
      <c r="E128" s="17" t="str">
        <f>IF(D128="","",IFERROR(VLOOKUP(D128,COA!A:B,2,FALSE),"-"))</f>
        <v/>
      </c>
      <c r="F128" s="17"/>
      <c r="G128" s="17" t="str">
        <f>IF(F128="","",IFERROR(VLOOKUP(F128,COA!A:B,2,FALSE),"-"))</f>
        <v/>
      </c>
      <c r="H128" s="20"/>
    </row>
    <row r="129">
      <c r="A129" s="43"/>
      <c r="D129" s="17"/>
      <c r="E129" s="17" t="str">
        <f>IF(D129="","",IFERROR(VLOOKUP(D129,COA!A:B,2,FALSE),"-"))</f>
        <v/>
      </c>
      <c r="F129" s="17"/>
      <c r="G129" s="17" t="str">
        <f>IF(F129="","",IFERROR(VLOOKUP(F129,COA!A:B,2,FALSE),"-"))</f>
        <v/>
      </c>
      <c r="H129" s="20"/>
    </row>
    <row r="130">
      <c r="A130" s="43"/>
      <c r="D130" s="17"/>
      <c r="E130" s="17" t="str">
        <f>IF(D130="","",IFERROR(VLOOKUP(D130,COA!A:B,2,FALSE),"-"))</f>
        <v/>
      </c>
      <c r="F130" s="17"/>
      <c r="G130" s="17" t="str">
        <f>IF(F130="","",IFERROR(VLOOKUP(F130,COA!A:B,2,FALSE),"-"))</f>
        <v/>
      </c>
      <c r="H130" s="20"/>
    </row>
    <row r="131">
      <c r="A131" s="43"/>
      <c r="D131" s="17"/>
      <c r="E131" s="17" t="str">
        <f>IF(D131="","",IFERROR(VLOOKUP(D131,COA!A:B,2,FALSE),"-"))</f>
        <v/>
      </c>
      <c r="F131" s="17"/>
      <c r="G131" s="17" t="str">
        <f>IF(F131="","",IFERROR(VLOOKUP(F131,COA!A:B,2,FALSE),"-"))</f>
        <v/>
      </c>
      <c r="H131" s="20"/>
    </row>
    <row r="132">
      <c r="A132" s="43"/>
      <c r="D132" s="17"/>
      <c r="E132" s="17" t="str">
        <f>IF(D132="","",IFERROR(VLOOKUP(D132,COA!A:B,2,FALSE),"-"))</f>
        <v/>
      </c>
      <c r="F132" s="17"/>
      <c r="G132" s="17" t="str">
        <f>IF(F132="","",IFERROR(VLOOKUP(F132,COA!A:B,2,FALSE),"-"))</f>
        <v/>
      </c>
      <c r="H132" s="20"/>
    </row>
    <row r="133">
      <c r="A133" s="43"/>
      <c r="D133" s="17"/>
      <c r="E133" s="17" t="str">
        <f>IF(D133="","",IFERROR(VLOOKUP(D133,COA!A:B,2,FALSE),"-"))</f>
        <v/>
      </c>
      <c r="F133" s="17"/>
      <c r="G133" s="17" t="str">
        <f>IF(F133="","",IFERROR(VLOOKUP(F133,COA!A:B,2,FALSE),"-"))</f>
        <v/>
      </c>
      <c r="H133" s="20"/>
    </row>
    <row r="134">
      <c r="A134" s="43"/>
      <c r="D134" s="17"/>
      <c r="E134" s="17" t="str">
        <f>IF(D134="","",IFERROR(VLOOKUP(D134,COA!A:B,2,FALSE),"-"))</f>
        <v/>
      </c>
      <c r="F134" s="17"/>
      <c r="G134" s="17" t="str">
        <f>IF(F134="","",IFERROR(VLOOKUP(F134,COA!A:B,2,FALSE),"-"))</f>
        <v/>
      </c>
      <c r="H134" s="20"/>
    </row>
    <row r="135">
      <c r="A135" s="43"/>
      <c r="D135" s="17"/>
      <c r="E135" s="17" t="str">
        <f>IF(D135="","",IFERROR(VLOOKUP(D135,COA!A:B,2,FALSE),"-"))</f>
        <v/>
      </c>
      <c r="F135" s="17"/>
      <c r="G135" s="17" t="str">
        <f>IF(F135="","",IFERROR(VLOOKUP(F135,COA!A:B,2,FALSE),"-"))</f>
        <v/>
      </c>
      <c r="H135" s="20"/>
    </row>
    <row r="136">
      <c r="A136" s="43"/>
      <c r="D136" s="17"/>
      <c r="E136" s="17" t="str">
        <f>IF(D136="","",IFERROR(VLOOKUP(D136,COA!A:B,2,FALSE),"-"))</f>
        <v/>
      </c>
      <c r="F136" s="17"/>
      <c r="G136" s="17" t="str">
        <f>IF(F136="","",IFERROR(VLOOKUP(F136,COA!A:B,2,FALSE),"-"))</f>
        <v/>
      </c>
      <c r="H136" s="20"/>
    </row>
    <row r="137">
      <c r="A137" s="43"/>
      <c r="D137" s="17"/>
      <c r="E137" s="17" t="str">
        <f>IF(D137="","",IFERROR(VLOOKUP(D137,COA!A:B,2,FALSE),"-"))</f>
        <v/>
      </c>
      <c r="F137" s="17"/>
      <c r="G137" s="17" t="str">
        <f>IF(F137="","",IFERROR(VLOOKUP(F137,COA!A:B,2,FALSE),"-"))</f>
        <v/>
      </c>
      <c r="H137" s="20"/>
    </row>
    <row r="138">
      <c r="A138" s="43"/>
      <c r="D138" s="17"/>
      <c r="E138" s="17" t="str">
        <f>IF(D138="","",IFERROR(VLOOKUP(D138,COA!A:B,2,FALSE),"-"))</f>
        <v/>
      </c>
      <c r="F138" s="17"/>
      <c r="G138" s="17" t="str">
        <f>IF(F138="","",IFERROR(VLOOKUP(F138,COA!A:B,2,FALSE),"-"))</f>
        <v/>
      </c>
      <c r="H138" s="20"/>
    </row>
    <row r="139">
      <c r="A139" s="43"/>
      <c r="D139" s="17"/>
      <c r="E139" s="17" t="str">
        <f>IF(D139="","",IFERROR(VLOOKUP(D139,COA!A:B,2,FALSE),"-"))</f>
        <v/>
      </c>
      <c r="F139" s="17"/>
      <c r="G139" s="17" t="str">
        <f>IF(F139="","",IFERROR(VLOOKUP(F139,COA!A:B,2,FALSE),"-"))</f>
        <v/>
      </c>
      <c r="H139" s="20"/>
    </row>
    <row r="140">
      <c r="A140" s="43"/>
      <c r="D140" s="17"/>
      <c r="E140" s="17" t="str">
        <f>IF(D140="","",IFERROR(VLOOKUP(D140,COA!A:B,2,FALSE),"-"))</f>
        <v/>
      </c>
      <c r="F140" s="17"/>
      <c r="G140" s="17" t="str">
        <f>IF(F140="","",IFERROR(VLOOKUP(F140,COA!A:B,2,FALSE),"-"))</f>
        <v/>
      </c>
      <c r="H140" s="20"/>
    </row>
    <row r="141">
      <c r="A141" s="43"/>
      <c r="D141" s="17"/>
      <c r="E141" s="17" t="str">
        <f>IF(D141="","",IFERROR(VLOOKUP(D141,COA!A:B,2,FALSE),"-"))</f>
        <v/>
      </c>
      <c r="F141" s="17"/>
      <c r="G141" s="17" t="str">
        <f>IF(F141="","",IFERROR(VLOOKUP(F141,COA!A:B,2,FALSE),"-"))</f>
        <v/>
      </c>
      <c r="H141" s="20"/>
    </row>
    <row r="142">
      <c r="A142" s="43"/>
      <c r="D142" s="17"/>
      <c r="E142" s="17" t="str">
        <f>IF(D142="","",IFERROR(VLOOKUP(D142,COA!A:B,2,FALSE),"-"))</f>
        <v/>
      </c>
      <c r="F142" s="17"/>
      <c r="G142" s="17" t="str">
        <f>IF(F142="","",IFERROR(VLOOKUP(F142,COA!A:B,2,FALSE),"-"))</f>
        <v/>
      </c>
      <c r="H142" s="20"/>
    </row>
    <row r="143">
      <c r="A143" s="43"/>
      <c r="D143" s="17"/>
      <c r="E143" s="17" t="str">
        <f>IF(D143="","",IFERROR(VLOOKUP(D143,COA!A:B,2,FALSE),"-"))</f>
        <v/>
      </c>
      <c r="F143" s="17"/>
      <c r="G143" s="17" t="str">
        <f>IF(F143="","",IFERROR(VLOOKUP(F143,COA!A:B,2,FALSE),"-"))</f>
        <v/>
      </c>
      <c r="H143" s="20"/>
    </row>
    <row r="144">
      <c r="A144" s="43"/>
      <c r="D144" s="17"/>
      <c r="E144" s="17" t="str">
        <f>IF(D144="","",IFERROR(VLOOKUP(D144,COA!A:B,2,FALSE),"-"))</f>
        <v/>
      </c>
      <c r="F144" s="17"/>
      <c r="G144" s="17" t="str">
        <f>IF(F144="","",IFERROR(VLOOKUP(F144,COA!A:B,2,FALSE),"-"))</f>
        <v/>
      </c>
      <c r="H144" s="20"/>
    </row>
    <row r="145">
      <c r="A145" s="43"/>
      <c r="D145" s="17"/>
      <c r="E145" s="17" t="str">
        <f>IF(D145="","",IFERROR(VLOOKUP(D145,COA!A:B,2,FALSE),"-"))</f>
        <v/>
      </c>
      <c r="F145" s="17"/>
      <c r="G145" s="17" t="str">
        <f>IF(F145="","",IFERROR(VLOOKUP(F145,COA!A:B,2,FALSE),"-"))</f>
        <v/>
      </c>
      <c r="H145" s="20"/>
    </row>
    <row r="146">
      <c r="A146" s="43"/>
      <c r="D146" s="17"/>
      <c r="E146" s="17" t="str">
        <f>IF(D146="","",IFERROR(VLOOKUP(D146,COA!A:B,2,FALSE),"-"))</f>
        <v/>
      </c>
      <c r="F146" s="17"/>
      <c r="G146" s="17" t="str">
        <f>IF(F146="","",IFERROR(VLOOKUP(F146,COA!A:B,2,FALSE),"-"))</f>
        <v/>
      </c>
      <c r="H146" s="20"/>
    </row>
    <row r="147">
      <c r="A147" s="43"/>
      <c r="D147" s="17"/>
      <c r="E147" s="17" t="str">
        <f>IF(D147="","",IFERROR(VLOOKUP(D147,COA!A:B,2,FALSE),"-"))</f>
        <v/>
      </c>
      <c r="F147" s="17"/>
      <c r="G147" s="17" t="str">
        <f>IF(F147="","",IFERROR(VLOOKUP(F147,COA!A:B,2,FALSE),"-"))</f>
        <v/>
      </c>
      <c r="H147" s="20"/>
    </row>
    <row r="148">
      <c r="A148" s="43"/>
      <c r="D148" s="17"/>
      <c r="E148" s="17" t="str">
        <f>IF(D148="","",IFERROR(VLOOKUP(D148,COA!A:B,2,FALSE),"-"))</f>
        <v/>
      </c>
      <c r="F148" s="17"/>
      <c r="G148" s="17" t="str">
        <f>IF(F148="","",IFERROR(VLOOKUP(F148,COA!A:B,2,FALSE),"-"))</f>
        <v/>
      </c>
      <c r="H148" s="20"/>
    </row>
    <row r="149">
      <c r="A149" s="43"/>
      <c r="D149" s="17"/>
      <c r="E149" s="17" t="str">
        <f>IF(D149="","",IFERROR(VLOOKUP(D149,COA!A:B,2,FALSE),"-"))</f>
        <v/>
      </c>
      <c r="F149" s="17"/>
      <c r="G149" s="17" t="str">
        <f>IF(F149="","",IFERROR(VLOOKUP(F149,COA!A:B,2,FALSE),"-"))</f>
        <v/>
      </c>
      <c r="H149" s="20"/>
    </row>
    <row r="150">
      <c r="A150" s="43"/>
      <c r="D150" s="17"/>
      <c r="E150" s="17" t="str">
        <f>IF(D150="","",IFERROR(VLOOKUP(D150,COA!A:B,2,FALSE),"-"))</f>
        <v/>
      </c>
      <c r="F150" s="17"/>
      <c r="G150" s="17" t="str">
        <f>IF(F150="","",IFERROR(VLOOKUP(F150,COA!A:B,2,FALSE),"-"))</f>
        <v/>
      </c>
      <c r="H150" s="20"/>
    </row>
    <row r="151">
      <c r="A151" s="43"/>
      <c r="D151" s="17"/>
      <c r="E151" s="17" t="str">
        <f>IF(D151="","",IFERROR(VLOOKUP(D151,COA!A:B,2,FALSE),"-"))</f>
        <v/>
      </c>
      <c r="F151" s="17"/>
      <c r="G151" s="17" t="str">
        <f>IF(F151="","",IFERROR(VLOOKUP(F151,COA!A:B,2,FALSE),"-"))</f>
        <v/>
      </c>
      <c r="H151" s="20"/>
    </row>
    <row r="152">
      <c r="A152" s="43"/>
      <c r="D152" s="17"/>
      <c r="E152" s="17" t="str">
        <f>IF(D152="","",IFERROR(VLOOKUP(D152,COA!A:B,2,FALSE),"-"))</f>
        <v/>
      </c>
      <c r="F152" s="17"/>
      <c r="G152" s="17" t="str">
        <f>IF(F152="","",IFERROR(VLOOKUP(F152,COA!A:B,2,FALSE),"-"))</f>
        <v/>
      </c>
      <c r="H152" s="20"/>
    </row>
    <row r="153">
      <c r="A153" s="43"/>
      <c r="D153" s="17"/>
      <c r="E153" s="17" t="str">
        <f>IF(D153="","",IFERROR(VLOOKUP(D153,COA!A:B,2,FALSE),"-"))</f>
        <v/>
      </c>
      <c r="F153" s="17"/>
      <c r="G153" s="17" t="str">
        <f>IF(F153="","",IFERROR(VLOOKUP(F153,COA!A:B,2,FALSE),"-"))</f>
        <v/>
      </c>
      <c r="H153" s="20"/>
    </row>
    <row r="154">
      <c r="A154" s="43"/>
      <c r="D154" s="17"/>
      <c r="E154" s="17" t="str">
        <f>IF(D154="","",IFERROR(VLOOKUP(D154,COA!A:B,2,FALSE),"-"))</f>
        <v/>
      </c>
      <c r="F154" s="17"/>
      <c r="G154" s="17" t="str">
        <f>IF(F154="","",IFERROR(VLOOKUP(F154,COA!A:B,2,FALSE),"-"))</f>
        <v/>
      </c>
      <c r="H154" s="20"/>
    </row>
    <row r="155">
      <c r="A155" s="43"/>
      <c r="D155" s="17"/>
      <c r="E155" s="17" t="str">
        <f>IF(D155="","",IFERROR(VLOOKUP(D155,COA!A:B,2,FALSE),"-"))</f>
        <v/>
      </c>
      <c r="F155" s="17"/>
      <c r="G155" s="17" t="str">
        <f>IF(F155="","",IFERROR(VLOOKUP(F155,COA!A:B,2,FALSE),"-"))</f>
        <v/>
      </c>
      <c r="H155" s="20"/>
    </row>
    <row r="156">
      <c r="A156" s="43"/>
      <c r="D156" s="17"/>
      <c r="E156" s="17" t="str">
        <f>IF(D156="","",IFERROR(VLOOKUP(D156,COA!A:B,2,FALSE),"-"))</f>
        <v/>
      </c>
      <c r="F156" s="17"/>
      <c r="G156" s="17" t="str">
        <f>IF(F156="","",IFERROR(VLOOKUP(F156,COA!A:B,2,FALSE),"-"))</f>
        <v/>
      </c>
      <c r="H156" s="20"/>
    </row>
    <row r="157">
      <c r="A157" s="43"/>
      <c r="D157" s="17"/>
      <c r="E157" s="17" t="str">
        <f>IF(D157="","",IFERROR(VLOOKUP(D157,COA!A:B,2,FALSE),"-"))</f>
        <v/>
      </c>
      <c r="F157" s="17"/>
      <c r="G157" s="17" t="str">
        <f>IF(F157="","",IFERROR(VLOOKUP(F157,COA!A:B,2,FALSE),"-"))</f>
        <v/>
      </c>
      <c r="H157" s="20"/>
    </row>
    <row r="158">
      <c r="A158" s="43"/>
      <c r="D158" s="17"/>
      <c r="E158" s="17" t="str">
        <f>IF(D158="","",IFERROR(VLOOKUP(D158,COA!A:B,2,FALSE),"-"))</f>
        <v/>
      </c>
      <c r="F158" s="17"/>
      <c r="G158" s="17" t="str">
        <f>IF(F158="","",IFERROR(VLOOKUP(F158,COA!A:B,2,FALSE),"-"))</f>
        <v/>
      </c>
      <c r="H158" s="20"/>
    </row>
    <row r="159">
      <c r="A159" s="43"/>
      <c r="D159" s="17"/>
      <c r="E159" s="17" t="str">
        <f>IF(D159="","",IFERROR(VLOOKUP(D159,COA!A:B,2,FALSE),"-"))</f>
        <v/>
      </c>
      <c r="F159" s="17"/>
      <c r="G159" s="17" t="str">
        <f>IF(F159="","",IFERROR(VLOOKUP(F159,COA!A:B,2,FALSE),"-"))</f>
        <v/>
      </c>
      <c r="H159" s="20"/>
    </row>
    <row r="160">
      <c r="A160" s="43"/>
      <c r="D160" s="17"/>
      <c r="E160" s="17" t="str">
        <f>IF(D160="","",IFERROR(VLOOKUP(D160,COA!A:B,2,FALSE),"-"))</f>
        <v/>
      </c>
      <c r="F160" s="17"/>
      <c r="G160" s="17" t="str">
        <f>IF(F160="","",IFERROR(VLOOKUP(F160,COA!A:B,2,FALSE),"-"))</f>
        <v/>
      </c>
      <c r="H160" s="20"/>
    </row>
    <row r="161">
      <c r="A161" s="43"/>
      <c r="D161" s="17"/>
      <c r="E161" s="17" t="str">
        <f>IF(D161="","",IFERROR(VLOOKUP(D161,COA!A:B,2,FALSE),"-"))</f>
        <v/>
      </c>
      <c r="F161" s="17"/>
      <c r="G161" s="17" t="str">
        <f>IF(F161="","",IFERROR(VLOOKUP(F161,COA!A:B,2,FALSE),"-"))</f>
        <v/>
      </c>
      <c r="H161" s="20"/>
    </row>
    <row r="162">
      <c r="A162" s="43"/>
      <c r="D162" s="17"/>
      <c r="E162" s="17" t="str">
        <f>IF(D162="","",IFERROR(VLOOKUP(D162,COA!A:B,2,FALSE),"-"))</f>
        <v/>
      </c>
      <c r="F162" s="17"/>
      <c r="G162" s="17" t="str">
        <f>IF(F162="","",IFERROR(VLOOKUP(F162,COA!A:B,2,FALSE),"-"))</f>
        <v/>
      </c>
      <c r="H162" s="20"/>
    </row>
    <row r="163">
      <c r="A163" s="43"/>
      <c r="D163" s="17"/>
      <c r="E163" s="17" t="str">
        <f>IF(D163="","",IFERROR(VLOOKUP(D163,COA!A:B,2,FALSE),"-"))</f>
        <v/>
      </c>
      <c r="F163" s="17"/>
      <c r="G163" s="17" t="str">
        <f>IF(F163="","",IFERROR(VLOOKUP(F163,COA!A:B,2,FALSE),"-"))</f>
        <v/>
      </c>
      <c r="H163" s="20"/>
    </row>
    <row r="164">
      <c r="A164" s="43"/>
      <c r="D164" s="17"/>
      <c r="E164" s="17" t="str">
        <f>IF(D164="","",IFERROR(VLOOKUP(D164,COA!A:B,2,FALSE),"-"))</f>
        <v/>
      </c>
      <c r="F164" s="17"/>
      <c r="G164" s="17" t="str">
        <f>IF(F164="","",IFERROR(VLOOKUP(F164,COA!A:B,2,FALSE),"-"))</f>
        <v/>
      </c>
      <c r="H164" s="20"/>
    </row>
    <row r="165">
      <c r="A165" s="43"/>
      <c r="D165" s="17"/>
      <c r="E165" s="17" t="str">
        <f>IF(D165="","",IFERROR(VLOOKUP(D165,COA!A:B,2,FALSE),"-"))</f>
        <v/>
      </c>
      <c r="F165" s="17"/>
      <c r="G165" s="17" t="str">
        <f>IF(F165="","",IFERROR(VLOOKUP(F165,COA!A:B,2,FALSE),"-"))</f>
        <v/>
      </c>
      <c r="H165" s="20"/>
    </row>
    <row r="166">
      <c r="A166" s="43"/>
      <c r="D166" s="17"/>
      <c r="E166" s="17" t="str">
        <f>IF(D166="","",IFERROR(VLOOKUP(D166,COA!A:B,2,FALSE),"-"))</f>
        <v/>
      </c>
      <c r="F166" s="17"/>
      <c r="G166" s="17" t="str">
        <f>IF(F166="","",IFERROR(VLOOKUP(F166,COA!A:B,2,FALSE),"-"))</f>
        <v/>
      </c>
      <c r="H166" s="20"/>
    </row>
    <row r="167">
      <c r="A167" s="43"/>
      <c r="D167" s="17"/>
      <c r="E167" s="17" t="str">
        <f>IF(D167="","",IFERROR(VLOOKUP(D167,COA!A:B,2,FALSE),"-"))</f>
        <v/>
      </c>
      <c r="F167" s="17"/>
      <c r="G167" s="17" t="str">
        <f>IF(F167="","",IFERROR(VLOOKUP(F167,COA!A:B,2,FALSE),"-"))</f>
        <v/>
      </c>
      <c r="H167" s="20"/>
    </row>
    <row r="168">
      <c r="A168" s="43"/>
      <c r="D168" s="17"/>
      <c r="E168" s="17" t="str">
        <f>IF(D168="","",IFERROR(VLOOKUP(D168,COA!A:B,2,FALSE),"-"))</f>
        <v/>
      </c>
      <c r="F168" s="17"/>
      <c r="G168" s="17" t="str">
        <f>IF(F168="","",IFERROR(VLOOKUP(F168,COA!A:B,2,FALSE),"-"))</f>
        <v/>
      </c>
      <c r="H168" s="20"/>
    </row>
    <row r="169">
      <c r="A169" s="43"/>
      <c r="D169" s="17"/>
      <c r="E169" s="17" t="str">
        <f>IF(D169="","",IFERROR(VLOOKUP(D169,COA!A:B,2,FALSE),"-"))</f>
        <v/>
      </c>
      <c r="F169" s="17"/>
      <c r="G169" s="17" t="str">
        <f>IF(F169="","",IFERROR(VLOOKUP(F169,COA!A:B,2,FALSE),"-"))</f>
        <v/>
      </c>
      <c r="H169" s="20"/>
    </row>
    <row r="170">
      <c r="A170" s="43"/>
      <c r="D170" s="17"/>
      <c r="E170" s="17" t="str">
        <f>IF(D170="","",IFERROR(VLOOKUP(D170,COA!A:B,2,FALSE),"-"))</f>
        <v/>
      </c>
      <c r="F170" s="17"/>
      <c r="G170" s="17" t="str">
        <f>IF(F170="","",IFERROR(VLOOKUP(F170,COA!A:B,2,FALSE),"-"))</f>
        <v/>
      </c>
      <c r="H170" s="20"/>
    </row>
    <row r="171">
      <c r="A171" s="43"/>
      <c r="D171" s="17"/>
      <c r="E171" s="17" t="str">
        <f>IF(D171="","",IFERROR(VLOOKUP(D171,COA!A:B,2,FALSE),"-"))</f>
        <v/>
      </c>
      <c r="F171" s="17"/>
      <c r="G171" s="17" t="str">
        <f>IF(F171="","",IFERROR(VLOOKUP(F171,COA!A:B,2,FALSE),"-"))</f>
        <v/>
      </c>
      <c r="H171" s="20"/>
    </row>
    <row r="172">
      <c r="A172" s="43"/>
      <c r="D172" s="17"/>
      <c r="E172" s="17" t="str">
        <f>IF(D172="","",IFERROR(VLOOKUP(D172,COA!A:B,2,FALSE),"-"))</f>
        <v/>
      </c>
      <c r="F172" s="17"/>
      <c r="G172" s="17" t="str">
        <f>IF(F172="","",IFERROR(VLOOKUP(F172,COA!A:B,2,FALSE),"-"))</f>
        <v/>
      </c>
      <c r="H172" s="20"/>
    </row>
    <row r="173">
      <c r="A173" s="43"/>
      <c r="D173" s="17"/>
      <c r="E173" s="17" t="str">
        <f>IF(D173="","",IFERROR(VLOOKUP(D173,COA!A:B,2,FALSE),"-"))</f>
        <v/>
      </c>
      <c r="F173" s="17"/>
      <c r="G173" s="17" t="str">
        <f>IF(F173="","",IFERROR(VLOOKUP(F173,COA!A:B,2,FALSE),"-"))</f>
        <v/>
      </c>
      <c r="H173" s="20"/>
    </row>
    <row r="174">
      <c r="A174" s="43"/>
      <c r="D174" s="17"/>
      <c r="E174" s="17" t="str">
        <f>IF(D174="","",IFERROR(VLOOKUP(D174,COA!A:B,2,FALSE),"-"))</f>
        <v/>
      </c>
      <c r="F174" s="17"/>
      <c r="G174" s="17" t="str">
        <f>IF(F174="","",IFERROR(VLOOKUP(F174,COA!A:B,2,FALSE),"-"))</f>
        <v/>
      </c>
      <c r="H174" s="20"/>
    </row>
    <row r="175">
      <c r="A175" s="43"/>
      <c r="D175" s="17"/>
      <c r="E175" s="17" t="str">
        <f>IF(D175="","",IFERROR(VLOOKUP(D175,COA!A:B,2,FALSE),"-"))</f>
        <v/>
      </c>
      <c r="F175" s="17"/>
      <c r="G175" s="17" t="str">
        <f>IF(F175="","",IFERROR(VLOOKUP(F175,COA!A:B,2,FALSE),"-"))</f>
        <v/>
      </c>
      <c r="H175" s="20"/>
    </row>
    <row r="176">
      <c r="A176" s="43"/>
      <c r="D176" s="17"/>
      <c r="E176" s="17" t="str">
        <f>IF(D176="","",IFERROR(VLOOKUP(D176,COA!A:B,2,FALSE),"-"))</f>
        <v/>
      </c>
      <c r="F176" s="17"/>
      <c r="G176" s="17" t="str">
        <f>IF(F176="","",IFERROR(VLOOKUP(F176,COA!A:B,2,FALSE),"-"))</f>
        <v/>
      </c>
      <c r="H176" s="20"/>
    </row>
    <row r="177">
      <c r="A177" s="43"/>
      <c r="D177" s="17"/>
      <c r="E177" s="17" t="str">
        <f>IF(D177="","",IFERROR(VLOOKUP(D177,COA!A:B,2,FALSE),"-"))</f>
        <v/>
      </c>
      <c r="F177" s="17"/>
      <c r="G177" s="17" t="str">
        <f>IF(F177="","",IFERROR(VLOOKUP(F177,COA!A:B,2,FALSE),"-"))</f>
        <v/>
      </c>
      <c r="H177" s="20"/>
    </row>
    <row r="178">
      <c r="A178" s="43"/>
      <c r="D178" s="17"/>
      <c r="E178" s="17" t="str">
        <f>IF(D178="","",IFERROR(VLOOKUP(D178,COA!A:B,2,FALSE),"-"))</f>
        <v/>
      </c>
      <c r="F178" s="17"/>
      <c r="G178" s="17" t="str">
        <f>IF(F178="","",IFERROR(VLOOKUP(F178,COA!A:B,2,FALSE),"-"))</f>
        <v/>
      </c>
      <c r="H178" s="20"/>
    </row>
    <row r="179">
      <c r="A179" s="43"/>
      <c r="D179" s="17"/>
      <c r="E179" s="17" t="str">
        <f>IF(D179="","",IFERROR(VLOOKUP(D179,COA!A:B,2,FALSE),"-"))</f>
        <v/>
      </c>
      <c r="F179" s="17"/>
      <c r="G179" s="17" t="str">
        <f>IF(F179="","",IFERROR(VLOOKUP(F179,COA!A:B,2,FALSE),"-"))</f>
        <v/>
      </c>
      <c r="H179" s="20"/>
    </row>
    <row r="180">
      <c r="A180" s="43"/>
      <c r="D180" s="17"/>
      <c r="E180" s="17" t="str">
        <f>IF(D180="","",IFERROR(VLOOKUP(D180,COA!A:B,2,FALSE),"-"))</f>
        <v/>
      </c>
      <c r="F180" s="17"/>
      <c r="G180" s="17" t="str">
        <f>IF(F180="","",IFERROR(VLOOKUP(F180,COA!A:B,2,FALSE),"-"))</f>
        <v/>
      </c>
      <c r="H180" s="20"/>
    </row>
    <row r="181">
      <c r="A181" s="43"/>
      <c r="D181" s="17"/>
      <c r="E181" s="17" t="str">
        <f>IF(D181="","",IFERROR(VLOOKUP(D181,COA!A:B,2,FALSE),"-"))</f>
        <v/>
      </c>
      <c r="F181" s="17"/>
      <c r="G181" s="17" t="str">
        <f>IF(F181="","",IFERROR(VLOOKUP(F181,COA!A:B,2,FALSE),"-"))</f>
        <v/>
      </c>
      <c r="H181" s="20"/>
    </row>
    <row r="182">
      <c r="A182" s="43"/>
      <c r="D182" s="17"/>
      <c r="E182" s="17" t="str">
        <f>IF(D182="","",IFERROR(VLOOKUP(D182,COA!A:B,2,FALSE),"-"))</f>
        <v/>
      </c>
      <c r="F182" s="17"/>
      <c r="G182" s="17" t="str">
        <f>IF(F182="","",IFERROR(VLOOKUP(F182,COA!A:B,2,FALSE),"-"))</f>
        <v/>
      </c>
      <c r="H182" s="20"/>
    </row>
    <row r="183">
      <c r="A183" s="43"/>
      <c r="D183" s="17"/>
      <c r="E183" s="17" t="str">
        <f>IF(D183="","",IFERROR(VLOOKUP(D183,COA!A:B,2,FALSE),"-"))</f>
        <v/>
      </c>
      <c r="F183" s="17"/>
      <c r="G183" s="17" t="str">
        <f>IF(F183="","",IFERROR(VLOOKUP(F183,COA!A:B,2,FALSE),"-"))</f>
        <v/>
      </c>
      <c r="H183" s="20"/>
    </row>
    <row r="184">
      <c r="A184" s="43"/>
      <c r="D184" s="17"/>
      <c r="E184" s="17" t="str">
        <f>IF(D184="","",IFERROR(VLOOKUP(D184,COA!A:B,2,FALSE),"-"))</f>
        <v/>
      </c>
      <c r="F184" s="17"/>
      <c r="G184" s="17" t="str">
        <f>IF(F184="","",IFERROR(VLOOKUP(F184,COA!A:B,2,FALSE),"-"))</f>
        <v/>
      </c>
      <c r="H184" s="20"/>
    </row>
    <row r="185">
      <c r="A185" s="43"/>
      <c r="D185" s="17"/>
      <c r="E185" s="17" t="str">
        <f>IF(D185="","",IFERROR(VLOOKUP(D185,COA!A:B,2,FALSE),"-"))</f>
        <v/>
      </c>
      <c r="F185" s="17"/>
      <c r="G185" s="17" t="str">
        <f>IF(F185="","",IFERROR(VLOOKUP(F185,COA!A:B,2,FALSE),"-"))</f>
        <v/>
      </c>
      <c r="H185" s="20"/>
    </row>
    <row r="186">
      <c r="A186" s="43"/>
      <c r="D186" s="17"/>
      <c r="E186" s="17" t="str">
        <f>IF(D186="","",IFERROR(VLOOKUP(D186,COA!A:B,2,FALSE),"-"))</f>
        <v/>
      </c>
      <c r="F186" s="17"/>
      <c r="G186" s="17" t="str">
        <f>IF(F186="","",IFERROR(VLOOKUP(F186,COA!A:B,2,FALSE),"-"))</f>
        <v/>
      </c>
      <c r="H186" s="20"/>
    </row>
    <row r="187">
      <c r="A187" s="43"/>
      <c r="D187" s="17"/>
      <c r="E187" s="17" t="str">
        <f>IF(D187="","",IFERROR(VLOOKUP(D187,COA!A:B,2,FALSE),"-"))</f>
        <v/>
      </c>
      <c r="F187" s="17"/>
      <c r="G187" s="17" t="str">
        <f>IF(F187="","",IFERROR(VLOOKUP(F187,COA!A:B,2,FALSE),"-"))</f>
        <v/>
      </c>
      <c r="H187" s="20"/>
    </row>
    <row r="188">
      <c r="A188" s="43"/>
      <c r="D188" s="17"/>
      <c r="E188" s="17" t="str">
        <f>IF(D188="","",IFERROR(VLOOKUP(D188,COA!A:B,2,FALSE),"-"))</f>
        <v/>
      </c>
      <c r="F188" s="17"/>
      <c r="G188" s="17" t="str">
        <f>IF(F188="","",IFERROR(VLOOKUP(F188,COA!A:B,2,FALSE),"-"))</f>
        <v/>
      </c>
      <c r="H188" s="20"/>
    </row>
    <row r="189">
      <c r="A189" s="43"/>
      <c r="D189" s="17"/>
      <c r="E189" s="17" t="str">
        <f>IF(D189="","",IFERROR(VLOOKUP(D189,COA!A:B,2,FALSE),"-"))</f>
        <v/>
      </c>
      <c r="F189" s="17"/>
      <c r="G189" s="17" t="str">
        <f>IF(F189="","",IFERROR(VLOOKUP(F189,COA!A:B,2,FALSE),"-"))</f>
        <v/>
      </c>
      <c r="H189" s="20"/>
    </row>
    <row r="190">
      <c r="A190" s="43"/>
      <c r="D190" s="17"/>
      <c r="E190" s="17" t="str">
        <f>IF(D190="","",IFERROR(VLOOKUP(D190,COA!A:B,2,FALSE),"-"))</f>
        <v/>
      </c>
      <c r="F190" s="17"/>
      <c r="G190" s="17" t="str">
        <f>IF(F190="","",IFERROR(VLOOKUP(F190,COA!A:B,2,FALSE),"-"))</f>
        <v/>
      </c>
      <c r="H190" s="20"/>
    </row>
    <row r="191">
      <c r="A191" s="43"/>
      <c r="D191" s="17"/>
      <c r="E191" s="17" t="str">
        <f>IF(D191="","",IFERROR(VLOOKUP(D191,COA!A:B,2,FALSE),"-"))</f>
        <v/>
      </c>
      <c r="F191" s="17"/>
      <c r="G191" s="17" t="str">
        <f>IF(F191="","",IFERROR(VLOOKUP(F191,COA!A:B,2,FALSE),"-"))</f>
        <v/>
      </c>
      <c r="H191" s="20"/>
    </row>
    <row r="192">
      <c r="A192" s="43"/>
      <c r="D192" s="17"/>
      <c r="E192" s="17" t="str">
        <f>IF(D192="","",IFERROR(VLOOKUP(D192,COA!A:B,2,FALSE),"-"))</f>
        <v/>
      </c>
      <c r="F192" s="17"/>
      <c r="G192" s="17" t="str">
        <f>IF(F192="","",IFERROR(VLOOKUP(F192,COA!A:B,2,FALSE),"-"))</f>
        <v/>
      </c>
      <c r="H192" s="20"/>
    </row>
    <row r="193">
      <c r="A193" s="43"/>
      <c r="D193" s="17"/>
      <c r="E193" s="17" t="str">
        <f>IF(D193="","",IFERROR(VLOOKUP(D193,COA!A:B,2,FALSE),"-"))</f>
        <v/>
      </c>
      <c r="F193" s="17"/>
      <c r="G193" s="17" t="str">
        <f>IF(F193="","",IFERROR(VLOOKUP(F193,COA!A:B,2,FALSE),"-"))</f>
        <v/>
      </c>
      <c r="H193" s="20"/>
    </row>
    <row r="194">
      <c r="A194" s="43"/>
      <c r="D194" s="17"/>
      <c r="E194" s="17" t="str">
        <f>IF(D194="","",IFERROR(VLOOKUP(D194,COA!A:B,2,FALSE),"-"))</f>
        <v/>
      </c>
      <c r="F194" s="17"/>
      <c r="G194" s="17" t="str">
        <f>IF(F194="","",IFERROR(VLOOKUP(F194,COA!A:B,2,FALSE),"-"))</f>
        <v/>
      </c>
      <c r="H194" s="20"/>
    </row>
    <row r="195">
      <c r="A195" s="43"/>
      <c r="D195" s="17"/>
      <c r="E195" s="17" t="str">
        <f>IF(D195="","",IFERROR(VLOOKUP(D195,COA!A:B,2,FALSE),"-"))</f>
        <v/>
      </c>
      <c r="F195" s="17"/>
      <c r="G195" s="17" t="str">
        <f>IF(F195="","",IFERROR(VLOOKUP(F195,COA!A:B,2,FALSE),"-"))</f>
        <v/>
      </c>
      <c r="H195" s="20"/>
    </row>
    <row r="196">
      <c r="A196" s="43"/>
      <c r="D196" s="17"/>
      <c r="E196" s="17" t="str">
        <f>IF(D196="","",IFERROR(VLOOKUP(D196,COA!A:B,2,FALSE),"-"))</f>
        <v/>
      </c>
      <c r="F196" s="17"/>
      <c r="G196" s="17" t="str">
        <f>IF(F196="","",IFERROR(VLOOKUP(F196,COA!A:B,2,FALSE),"-"))</f>
        <v/>
      </c>
      <c r="H196" s="20"/>
    </row>
    <row r="197">
      <c r="A197" s="43"/>
      <c r="D197" s="17"/>
      <c r="E197" s="17" t="str">
        <f>IF(D197="","",IFERROR(VLOOKUP(D197,COA!A:B,2,FALSE),"-"))</f>
        <v/>
      </c>
      <c r="F197" s="17"/>
      <c r="G197" s="17" t="str">
        <f>IF(F197="","",IFERROR(VLOOKUP(F197,COA!A:B,2,FALSE),"-"))</f>
        <v/>
      </c>
      <c r="H197" s="20"/>
    </row>
    <row r="198">
      <c r="A198" s="43"/>
      <c r="D198" s="17"/>
      <c r="E198" s="17" t="str">
        <f>IF(D198="","",IFERROR(VLOOKUP(D198,COA!A:B,2,FALSE),"-"))</f>
        <v/>
      </c>
      <c r="F198" s="17"/>
      <c r="G198" s="17" t="str">
        <f>IF(F198="","",IFERROR(VLOOKUP(F198,COA!A:B,2,FALSE),"-"))</f>
        <v/>
      </c>
      <c r="H198" s="20"/>
    </row>
    <row r="199">
      <c r="A199" s="43"/>
      <c r="D199" s="17"/>
      <c r="E199" s="17" t="str">
        <f>IF(D199="","",IFERROR(VLOOKUP(D199,COA!A:B,2,FALSE),"-"))</f>
        <v/>
      </c>
      <c r="F199" s="17"/>
      <c r="G199" s="17" t="str">
        <f>IF(F199="","",IFERROR(VLOOKUP(F199,COA!A:B,2,FALSE),"-"))</f>
        <v/>
      </c>
      <c r="H199" s="20"/>
    </row>
    <row r="200">
      <c r="A200" s="43"/>
      <c r="D200" s="17"/>
      <c r="E200" s="17" t="str">
        <f>IF(D200="","",IFERROR(VLOOKUP(D200,COA!A:B,2,FALSE),"-"))</f>
        <v/>
      </c>
      <c r="F200" s="17"/>
      <c r="G200" s="17" t="str">
        <f>IF(F200="","",IFERROR(VLOOKUP(F200,COA!A:B,2,FALSE),"-"))</f>
        <v/>
      </c>
      <c r="H200" s="20"/>
    </row>
    <row r="201">
      <c r="A201" s="43"/>
      <c r="D201" s="17"/>
      <c r="E201" s="17" t="str">
        <f>IF(D201="","",IFERROR(VLOOKUP(D201,COA!A:B,2,FALSE),"-"))</f>
        <v/>
      </c>
      <c r="F201" s="17"/>
      <c r="G201" s="17" t="str">
        <f>IF(F201="","",IFERROR(VLOOKUP(F201,COA!A:B,2,FALSE),"-"))</f>
        <v/>
      </c>
      <c r="H201" s="20"/>
    </row>
    <row r="202">
      <c r="A202" s="43"/>
      <c r="D202" s="17"/>
      <c r="E202" s="17" t="str">
        <f>IF(D202="","",IFERROR(VLOOKUP(D202,COA!A:B,2,FALSE),"-"))</f>
        <v/>
      </c>
      <c r="F202" s="17"/>
      <c r="G202" s="17" t="str">
        <f>IF(F202="","",IFERROR(VLOOKUP(F202,COA!A:B,2,FALSE),"-"))</f>
        <v/>
      </c>
      <c r="H202" s="20"/>
    </row>
    <row r="203">
      <c r="A203" s="43"/>
      <c r="D203" s="17"/>
      <c r="E203" s="17" t="str">
        <f>IF(D203="","",IFERROR(VLOOKUP(D203,COA!A:B,2,FALSE),"-"))</f>
        <v/>
      </c>
      <c r="F203" s="17"/>
      <c r="G203" s="17" t="str">
        <f>IF(F203="","",IFERROR(VLOOKUP(F203,COA!A:B,2,FALSE),"-"))</f>
        <v/>
      </c>
      <c r="H203" s="20"/>
    </row>
    <row r="204">
      <c r="A204" s="43"/>
      <c r="D204" s="17"/>
      <c r="E204" s="17" t="str">
        <f>IF(D204="","",IFERROR(VLOOKUP(D204,COA!A:B,2,FALSE),"-"))</f>
        <v/>
      </c>
      <c r="F204" s="17"/>
      <c r="G204" s="17" t="str">
        <f>IF(F204="","",IFERROR(VLOOKUP(F204,COA!A:B,2,FALSE),"-"))</f>
        <v/>
      </c>
      <c r="H204" s="20"/>
    </row>
    <row r="205">
      <c r="A205" s="43"/>
      <c r="D205" s="17"/>
      <c r="E205" s="17" t="str">
        <f>IF(D205="","",IFERROR(VLOOKUP(D205,COA!A:B,2,FALSE),"-"))</f>
        <v/>
      </c>
      <c r="F205" s="17"/>
      <c r="G205" s="17" t="str">
        <f>IF(F205="","",IFERROR(VLOOKUP(F205,COA!A:B,2,FALSE),"-"))</f>
        <v/>
      </c>
      <c r="H205" s="20"/>
    </row>
    <row r="206">
      <c r="A206" s="43"/>
      <c r="D206" s="17"/>
      <c r="E206" s="17" t="str">
        <f>IF(D206="","",IFERROR(VLOOKUP(D206,COA!A:B,2,FALSE),"-"))</f>
        <v/>
      </c>
      <c r="F206" s="17"/>
      <c r="G206" s="17" t="str">
        <f>IF(F206="","",IFERROR(VLOOKUP(F206,COA!A:B,2,FALSE),"-"))</f>
        <v/>
      </c>
      <c r="H206" s="20"/>
    </row>
    <row r="207">
      <c r="A207" s="43"/>
      <c r="D207" s="17"/>
      <c r="E207" s="17" t="str">
        <f>IF(D207="","",IFERROR(VLOOKUP(D207,COA!A:B,2,FALSE),"-"))</f>
        <v/>
      </c>
      <c r="F207" s="17"/>
      <c r="G207" s="17" t="str">
        <f>IF(F207="","",IFERROR(VLOOKUP(F207,COA!A:B,2,FALSE),"-"))</f>
        <v/>
      </c>
      <c r="H207" s="20"/>
    </row>
    <row r="208">
      <c r="A208" s="43"/>
      <c r="D208" s="17"/>
      <c r="E208" s="17" t="str">
        <f>IF(D208="","",IFERROR(VLOOKUP(D208,COA!A:B,2,FALSE),"-"))</f>
        <v/>
      </c>
      <c r="F208" s="17"/>
      <c r="G208" s="17" t="str">
        <f>IF(F208="","",IFERROR(VLOOKUP(F208,COA!A:B,2,FALSE),"-"))</f>
        <v/>
      </c>
      <c r="H208" s="20"/>
    </row>
    <row r="209">
      <c r="A209" s="43"/>
      <c r="D209" s="17"/>
      <c r="E209" s="17" t="str">
        <f>IF(D209="","",IFERROR(VLOOKUP(D209,COA!A:B,2,FALSE),"-"))</f>
        <v/>
      </c>
      <c r="F209" s="17"/>
      <c r="G209" s="17" t="str">
        <f>IF(F209="","",IFERROR(VLOOKUP(F209,COA!A:B,2,FALSE),"-"))</f>
        <v/>
      </c>
      <c r="H209" s="20"/>
    </row>
    <row r="210">
      <c r="A210" s="43"/>
      <c r="D210" s="17"/>
      <c r="E210" s="17" t="str">
        <f>IF(D210="","",IFERROR(VLOOKUP(D210,COA!A:B,2,FALSE),"-"))</f>
        <v/>
      </c>
      <c r="F210" s="17"/>
      <c r="G210" s="17" t="str">
        <f>IF(F210="","",IFERROR(VLOOKUP(F210,COA!A:B,2,FALSE),"-"))</f>
        <v/>
      </c>
      <c r="H210" s="20"/>
    </row>
    <row r="211">
      <c r="A211" s="43"/>
      <c r="D211" s="17"/>
      <c r="E211" s="17" t="str">
        <f>IF(D211="","",IFERROR(VLOOKUP(D211,COA!A:B,2,FALSE),"-"))</f>
        <v/>
      </c>
      <c r="F211" s="17"/>
      <c r="G211" s="17" t="str">
        <f>IF(F211="","",IFERROR(VLOOKUP(F211,COA!A:B,2,FALSE),"-"))</f>
        <v/>
      </c>
      <c r="H211" s="20"/>
    </row>
    <row r="212">
      <c r="A212" s="43"/>
      <c r="D212" s="17"/>
      <c r="E212" s="17" t="str">
        <f>IF(D212="","",IFERROR(VLOOKUP(D212,COA!A:B,2,FALSE),"-"))</f>
        <v/>
      </c>
      <c r="F212" s="17"/>
      <c r="G212" s="17" t="str">
        <f>IF(F212="","",IFERROR(VLOOKUP(F212,COA!A:B,2,FALSE),"-"))</f>
        <v/>
      </c>
      <c r="H212" s="20"/>
    </row>
    <row r="213">
      <c r="A213" s="43"/>
      <c r="D213" s="17"/>
      <c r="E213" s="17" t="str">
        <f>IF(D213="","",IFERROR(VLOOKUP(D213,COA!A:B,2,FALSE),"-"))</f>
        <v/>
      </c>
      <c r="F213" s="17"/>
      <c r="G213" s="17" t="str">
        <f>IF(F213="","",IFERROR(VLOOKUP(F213,COA!A:B,2,FALSE),"-"))</f>
        <v/>
      </c>
      <c r="H213" s="20"/>
    </row>
    <row r="214">
      <c r="A214" s="43"/>
      <c r="D214" s="17"/>
      <c r="E214" s="17" t="str">
        <f>IF(D214="","",IFERROR(VLOOKUP(D214,COA!A:B,2,FALSE),"-"))</f>
        <v/>
      </c>
      <c r="F214" s="17"/>
      <c r="G214" s="17" t="str">
        <f>IF(F214="","",IFERROR(VLOOKUP(F214,COA!A:B,2,FALSE),"-"))</f>
        <v/>
      </c>
      <c r="H214" s="20"/>
    </row>
    <row r="215">
      <c r="A215" s="43"/>
      <c r="D215" s="17"/>
      <c r="E215" s="17" t="str">
        <f>IF(D215="","",IFERROR(VLOOKUP(D215,COA!A:B,2,FALSE),"-"))</f>
        <v/>
      </c>
      <c r="F215" s="17"/>
      <c r="G215" s="17" t="str">
        <f>IF(F215="","",IFERROR(VLOOKUP(F215,COA!A:B,2,FALSE),"-"))</f>
        <v/>
      </c>
      <c r="H215" s="20"/>
    </row>
    <row r="216">
      <c r="A216" s="43"/>
      <c r="D216" s="17"/>
      <c r="E216" s="17" t="str">
        <f>IF(D216="","",IFERROR(VLOOKUP(D216,COA!A:B,2,FALSE),"-"))</f>
        <v/>
      </c>
      <c r="F216" s="17"/>
      <c r="G216" s="17" t="str">
        <f>IF(F216="","",IFERROR(VLOOKUP(F216,COA!A:B,2,FALSE),"-"))</f>
        <v/>
      </c>
      <c r="H216" s="20"/>
    </row>
    <row r="217">
      <c r="A217" s="43"/>
      <c r="D217" s="17"/>
      <c r="E217" s="17" t="str">
        <f>IF(D217="","",IFERROR(VLOOKUP(D217,COA!A:B,2,FALSE),"-"))</f>
        <v/>
      </c>
      <c r="F217" s="17"/>
      <c r="G217" s="17" t="str">
        <f>IF(F217="","",IFERROR(VLOOKUP(F217,COA!A:B,2,FALSE),"-"))</f>
        <v/>
      </c>
      <c r="H217" s="20"/>
    </row>
    <row r="218">
      <c r="A218" s="43"/>
      <c r="D218" s="17"/>
      <c r="E218" s="17" t="str">
        <f>IF(D218="","",IFERROR(VLOOKUP(D218,COA!A:B,2,FALSE),"-"))</f>
        <v/>
      </c>
      <c r="F218" s="17"/>
      <c r="G218" s="17" t="str">
        <f>IF(F218="","",IFERROR(VLOOKUP(F218,COA!A:B,2,FALSE),"-"))</f>
        <v/>
      </c>
      <c r="H218" s="20"/>
    </row>
    <row r="219">
      <c r="A219" s="43"/>
      <c r="D219" s="17"/>
      <c r="E219" s="17" t="str">
        <f>IF(D219="","",IFERROR(VLOOKUP(D219,COA!A:B,2,FALSE),"-"))</f>
        <v/>
      </c>
      <c r="F219" s="17"/>
      <c r="G219" s="17" t="str">
        <f>IF(F219="","",IFERROR(VLOOKUP(F219,COA!A:B,2,FALSE),"-"))</f>
        <v/>
      </c>
      <c r="H219" s="20"/>
    </row>
    <row r="220">
      <c r="A220" s="43"/>
      <c r="D220" s="17"/>
      <c r="E220" s="17" t="str">
        <f>IF(D220="","",IFERROR(VLOOKUP(D220,COA!A:B,2,FALSE),"-"))</f>
        <v/>
      </c>
      <c r="F220" s="17"/>
      <c r="G220" s="17" t="str">
        <f>IF(F220="","",IFERROR(VLOOKUP(F220,COA!A:B,2,FALSE),"-"))</f>
        <v/>
      </c>
      <c r="H220" s="20"/>
    </row>
    <row r="221">
      <c r="A221" s="43"/>
      <c r="D221" s="17"/>
      <c r="E221" s="17" t="str">
        <f>IF(D221="","",IFERROR(VLOOKUP(D221,COA!A:B,2,FALSE),"-"))</f>
        <v/>
      </c>
      <c r="F221" s="17"/>
      <c r="G221" s="17" t="str">
        <f>IF(F221="","",IFERROR(VLOOKUP(F221,COA!A:B,2,FALSE),"-"))</f>
        <v/>
      </c>
      <c r="H221" s="20"/>
    </row>
    <row r="222">
      <c r="A222" s="43"/>
      <c r="D222" s="17"/>
      <c r="E222" s="17" t="str">
        <f>IF(D222="","",IFERROR(VLOOKUP(D222,COA!A:B,2,FALSE),"-"))</f>
        <v/>
      </c>
      <c r="F222" s="17"/>
      <c r="G222" s="17" t="str">
        <f>IF(F222="","",IFERROR(VLOOKUP(F222,COA!A:B,2,FALSE),"-"))</f>
        <v/>
      </c>
      <c r="H222" s="20"/>
    </row>
    <row r="223">
      <c r="A223" s="43"/>
      <c r="D223" s="17"/>
      <c r="E223" s="17" t="str">
        <f>IF(D223="","",IFERROR(VLOOKUP(D223,COA!A:B,2,FALSE),"-"))</f>
        <v/>
      </c>
      <c r="F223" s="17"/>
      <c r="G223" s="17" t="str">
        <f>IF(F223="","",IFERROR(VLOOKUP(F223,COA!A:B,2,FALSE),"-"))</f>
        <v/>
      </c>
      <c r="H223" s="20"/>
    </row>
    <row r="224">
      <c r="A224" s="43"/>
      <c r="D224" s="17"/>
      <c r="E224" s="17" t="str">
        <f>IF(D224="","",IFERROR(VLOOKUP(D224,COA!A:B,2,FALSE),"-"))</f>
        <v/>
      </c>
      <c r="F224" s="17"/>
      <c r="G224" s="17" t="str">
        <f>IF(F224="","",IFERROR(VLOOKUP(F224,COA!A:B,2,FALSE),"-"))</f>
        <v/>
      </c>
      <c r="H224" s="20"/>
    </row>
    <row r="225">
      <c r="A225" s="43"/>
      <c r="D225" s="17"/>
      <c r="E225" s="17" t="str">
        <f>IF(D225="","",IFERROR(VLOOKUP(D225,COA!A:B,2,FALSE),"-"))</f>
        <v/>
      </c>
      <c r="F225" s="17"/>
      <c r="G225" s="17" t="str">
        <f>IF(F225="","",IFERROR(VLOOKUP(F225,COA!A:B,2,FALSE),"-"))</f>
        <v/>
      </c>
      <c r="H225" s="20"/>
    </row>
    <row r="226">
      <c r="A226" s="43"/>
      <c r="D226" s="17"/>
      <c r="E226" s="17" t="str">
        <f>IF(D226="","",IFERROR(VLOOKUP(D226,COA!A:B,2,FALSE),"-"))</f>
        <v/>
      </c>
      <c r="F226" s="17"/>
      <c r="G226" s="17" t="str">
        <f>IF(F226="","",IFERROR(VLOOKUP(F226,COA!A:B,2,FALSE),"-"))</f>
        <v/>
      </c>
      <c r="H226" s="20"/>
    </row>
    <row r="227">
      <c r="A227" s="43"/>
      <c r="D227" s="17"/>
      <c r="E227" s="17" t="str">
        <f>IF(D227="","",IFERROR(VLOOKUP(D227,COA!A:B,2,FALSE),"-"))</f>
        <v/>
      </c>
      <c r="F227" s="17"/>
      <c r="G227" s="17" t="str">
        <f>IF(F227="","",IFERROR(VLOOKUP(F227,COA!A:B,2,FALSE),"-"))</f>
        <v/>
      </c>
      <c r="H227" s="20"/>
    </row>
    <row r="228">
      <c r="A228" s="43"/>
      <c r="D228" s="17"/>
      <c r="E228" s="17" t="str">
        <f>IF(D228="","",IFERROR(VLOOKUP(D228,COA!A:B,2,FALSE),"-"))</f>
        <v/>
      </c>
      <c r="F228" s="17"/>
      <c r="G228" s="17" t="str">
        <f>IF(F228="","",IFERROR(VLOOKUP(F228,COA!A:B,2,FALSE),"-"))</f>
        <v/>
      </c>
      <c r="H228" s="20"/>
    </row>
    <row r="229">
      <c r="A229" s="43"/>
      <c r="D229" s="17"/>
      <c r="E229" s="17" t="str">
        <f>IF(D229="","",IFERROR(VLOOKUP(D229,COA!A:B,2,FALSE),"-"))</f>
        <v/>
      </c>
      <c r="F229" s="17"/>
      <c r="G229" s="17" t="str">
        <f>IF(F229="","",IFERROR(VLOOKUP(F229,COA!A:B,2,FALSE),"-"))</f>
        <v/>
      </c>
      <c r="H229" s="20"/>
    </row>
    <row r="230">
      <c r="A230" s="43"/>
      <c r="D230" s="17"/>
      <c r="E230" s="17" t="str">
        <f>IF(D230="","",IFERROR(VLOOKUP(D230,COA!A:B,2,FALSE),"-"))</f>
        <v/>
      </c>
      <c r="F230" s="17"/>
      <c r="G230" s="17" t="str">
        <f>IF(F230="","",IFERROR(VLOOKUP(F230,COA!A:B,2,FALSE),"-"))</f>
        <v/>
      </c>
      <c r="H230" s="20"/>
    </row>
    <row r="231">
      <c r="A231" s="43"/>
      <c r="D231" s="17"/>
      <c r="E231" s="17" t="str">
        <f>IF(D231="","",IFERROR(VLOOKUP(D231,COA!A:B,2,FALSE),"-"))</f>
        <v/>
      </c>
      <c r="F231" s="17"/>
      <c r="G231" s="17" t="str">
        <f>IF(F231="","",IFERROR(VLOOKUP(F231,COA!A:B,2,FALSE),"-"))</f>
        <v/>
      </c>
      <c r="H231" s="20"/>
    </row>
    <row r="232">
      <c r="A232" s="43"/>
      <c r="D232" s="17"/>
      <c r="E232" s="17" t="str">
        <f>IF(D232="","",IFERROR(VLOOKUP(D232,COA!A:B,2,FALSE),"-"))</f>
        <v/>
      </c>
      <c r="F232" s="17"/>
      <c r="G232" s="17" t="str">
        <f>IF(F232="","",IFERROR(VLOOKUP(F232,COA!A:B,2,FALSE),"-"))</f>
        <v/>
      </c>
      <c r="H232" s="20"/>
    </row>
    <row r="233">
      <c r="A233" s="43"/>
      <c r="D233" s="17"/>
      <c r="E233" s="17" t="str">
        <f>IF(D233="","",IFERROR(VLOOKUP(D233,COA!A:B,2,FALSE),"-"))</f>
        <v/>
      </c>
      <c r="F233" s="17"/>
      <c r="G233" s="17" t="str">
        <f>IF(F233="","",IFERROR(VLOOKUP(F233,COA!A:B,2,FALSE),"-"))</f>
        <v/>
      </c>
      <c r="H233" s="20"/>
    </row>
    <row r="234">
      <c r="A234" s="43"/>
      <c r="D234" s="17"/>
      <c r="E234" s="17" t="str">
        <f>IF(D234="","",IFERROR(VLOOKUP(D234,COA!A:B,2,FALSE),"-"))</f>
        <v/>
      </c>
      <c r="F234" s="17"/>
      <c r="G234" s="17" t="str">
        <f>IF(F234="","",IFERROR(VLOOKUP(F234,COA!A:B,2,FALSE),"-"))</f>
        <v/>
      </c>
      <c r="H234" s="20"/>
    </row>
    <row r="235">
      <c r="A235" s="43"/>
      <c r="D235" s="17"/>
      <c r="E235" s="17" t="str">
        <f>IF(D235="","",IFERROR(VLOOKUP(D235,COA!A:B,2,FALSE),"-"))</f>
        <v/>
      </c>
      <c r="F235" s="17"/>
      <c r="G235" s="17" t="str">
        <f>IF(F235="","",IFERROR(VLOOKUP(F235,COA!A:B,2,FALSE),"-"))</f>
        <v/>
      </c>
      <c r="H235" s="20"/>
    </row>
    <row r="236">
      <c r="A236" s="43"/>
      <c r="D236" s="17"/>
      <c r="E236" s="17" t="str">
        <f>IF(D236="","",IFERROR(VLOOKUP(D236,COA!A:B,2,FALSE),"-"))</f>
        <v/>
      </c>
      <c r="F236" s="17"/>
      <c r="G236" s="17" t="str">
        <f>IF(F236="","",IFERROR(VLOOKUP(F236,COA!A:B,2,FALSE),"-"))</f>
        <v/>
      </c>
      <c r="H236" s="20"/>
    </row>
    <row r="237">
      <c r="A237" s="43"/>
      <c r="D237" s="17"/>
      <c r="E237" s="17" t="str">
        <f>IF(D237="","",IFERROR(VLOOKUP(D237,COA!A:B,2,FALSE),"-"))</f>
        <v/>
      </c>
      <c r="F237" s="17"/>
      <c r="G237" s="17" t="str">
        <f>IF(F237="","",IFERROR(VLOOKUP(F237,COA!A:B,2,FALSE),"-"))</f>
        <v/>
      </c>
      <c r="H237" s="20"/>
    </row>
    <row r="238">
      <c r="A238" s="43"/>
      <c r="D238" s="17"/>
      <c r="E238" s="17" t="str">
        <f>IF(D238="","",IFERROR(VLOOKUP(D238,COA!A:B,2,FALSE),"-"))</f>
        <v/>
      </c>
      <c r="F238" s="17"/>
      <c r="G238" s="17" t="str">
        <f>IF(F238="","",IFERROR(VLOOKUP(F238,COA!A:B,2,FALSE),"-"))</f>
        <v/>
      </c>
      <c r="H238" s="20"/>
    </row>
    <row r="239">
      <c r="A239" s="43"/>
      <c r="D239" s="17"/>
      <c r="E239" s="17" t="str">
        <f>IF(D239="","",IFERROR(VLOOKUP(D239,COA!A:B,2,FALSE),"-"))</f>
        <v/>
      </c>
      <c r="F239" s="17"/>
      <c r="G239" s="17" t="str">
        <f>IF(F239="","",IFERROR(VLOOKUP(F239,COA!A:B,2,FALSE),"-"))</f>
        <v/>
      </c>
      <c r="H239" s="20"/>
    </row>
    <row r="240">
      <c r="A240" s="43"/>
      <c r="D240" s="17"/>
      <c r="E240" s="17" t="str">
        <f>IF(D240="","",IFERROR(VLOOKUP(D240,COA!A:B,2,FALSE),"-"))</f>
        <v/>
      </c>
      <c r="F240" s="17"/>
      <c r="G240" s="17" t="str">
        <f>IF(F240="","",IFERROR(VLOOKUP(F240,COA!A:B,2,FALSE),"-"))</f>
        <v/>
      </c>
      <c r="H240" s="20"/>
    </row>
    <row r="241">
      <c r="A241" s="43"/>
      <c r="D241" s="17"/>
      <c r="E241" s="17" t="str">
        <f>IF(D241="","",IFERROR(VLOOKUP(D241,COA!A:B,2,FALSE),"-"))</f>
        <v/>
      </c>
      <c r="F241" s="17"/>
      <c r="G241" s="17" t="str">
        <f>IF(F241="","",IFERROR(VLOOKUP(F241,COA!A:B,2,FALSE),"-"))</f>
        <v/>
      </c>
      <c r="H241" s="20"/>
    </row>
    <row r="242">
      <c r="A242" s="43"/>
      <c r="D242" s="17"/>
      <c r="E242" s="17" t="str">
        <f>IF(D242="","",IFERROR(VLOOKUP(D242,COA!A:B,2,FALSE),"-"))</f>
        <v/>
      </c>
      <c r="F242" s="17"/>
      <c r="G242" s="17" t="str">
        <f>IF(F242="","",IFERROR(VLOOKUP(F242,COA!A:B,2,FALSE),"-"))</f>
        <v/>
      </c>
      <c r="H242" s="20"/>
    </row>
    <row r="243">
      <c r="A243" s="43"/>
      <c r="D243" s="17"/>
      <c r="E243" s="17" t="str">
        <f>IF(D243="","",IFERROR(VLOOKUP(D243,COA!A:B,2,FALSE),"-"))</f>
        <v/>
      </c>
      <c r="F243" s="17"/>
      <c r="G243" s="17" t="str">
        <f>IF(F243="","",IFERROR(VLOOKUP(F243,COA!A:B,2,FALSE),"-"))</f>
        <v/>
      </c>
      <c r="H243" s="20"/>
    </row>
    <row r="244">
      <c r="A244" s="43"/>
      <c r="D244" s="17"/>
      <c r="E244" s="17" t="str">
        <f>IF(D244="","",IFERROR(VLOOKUP(D244,COA!A:B,2,FALSE),"-"))</f>
        <v/>
      </c>
      <c r="F244" s="17"/>
      <c r="G244" s="17" t="str">
        <f>IF(F244="","",IFERROR(VLOOKUP(F244,COA!A:B,2,FALSE),"-"))</f>
        <v/>
      </c>
      <c r="H244" s="20"/>
    </row>
    <row r="245">
      <c r="A245" s="43"/>
      <c r="D245" s="17"/>
      <c r="E245" s="17" t="str">
        <f>IF(D245="","",IFERROR(VLOOKUP(D245,COA!A:B,2,FALSE),"-"))</f>
        <v/>
      </c>
      <c r="F245" s="17"/>
      <c r="G245" s="17" t="str">
        <f>IF(F245="","",IFERROR(VLOOKUP(F245,COA!A:B,2,FALSE),"-"))</f>
        <v/>
      </c>
      <c r="H245" s="20"/>
    </row>
    <row r="246">
      <c r="A246" s="43"/>
      <c r="D246" s="17"/>
      <c r="E246" s="17" t="str">
        <f>IF(D246="","",IFERROR(VLOOKUP(D246,COA!A:B,2,FALSE),"-"))</f>
        <v/>
      </c>
      <c r="F246" s="17"/>
      <c r="G246" s="17" t="str">
        <f>IF(F246="","",IFERROR(VLOOKUP(F246,COA!A:B,2,FALSE),"-"))</f>
        <v/>
      </c>
      <c r="H246" s="20"/>
    </row>
    <row r="247">
      <c r="A247" s="43"/>
      <c r="D247" s="17"/>
      <c r="E247" s="17" t="str">
        <f>IF(D247="","",IFERROR(VLOOKUP(D247,COA!A:B,2,FALSE),"-"))</f>
        <v/>
      </c>
      <c r="F247" s="17"/>
      <c r="G247" s="17" t="str">
        <f>IF(F247="","",IFERROR(VLOOKUP(F247,COA!A:B,2,FALSE),"-"))</f>
        <v/>
      </c>
      <c r="H247" s="20"/>
    </row>
    <row r="248">
      <c r="A248" s="43"/>
      <c r="D248" s="17"/>
      <c r="E248" s="17" t="str">
        <f>IF(D248="","",IFERROR(VLOOKUP(D248,COA!A:B,2,FALSE),"-"))</f>
        <v/>
      </c>
      <c r="F248" s="17"/>
      <c r="G248" s="17" t="str">
        <f>IF(F248="","",IFERROR(VLOOKUP(F248,COA!A:B,2,FALSE),"-"))</f>
        <v/>
      </c>
      <c r="H248" s="20"/>
    </row>
    <row r="249">
      <c r="A249" s="43"/>
      <c r="D249" s="17"/>
      <c r="E249" s="17" t="str">
        <f>IF(D249="","",IFERROR(VLOOKUP(D249,COA!A:B,2,FALSE),"-"))</f>
        <v/>
      </c>
      <c r="F249" s="17"/>
      <c r="G249" s="17" t="str">
        <f>IF(F249="","",IFERROR(VLOOKUP(F249,COA!A:B,2,FALSE),"-"))</f>
        <v/>
      </c>
      <c r="H249" s="20"/>
    </row>
    <row r="250">
      <c r="A250" s="43"/>
      <c r="D250" s="17"/>
      <c r="E250" s="17" t="str">
        <f>IF(D250="","",IFERROR(VLOOKUP(D250,COA!A:B,2,FALSE),"-"))</f>
        <v/>
      </c>
      <c r="F250" s="17"/>
      <c r="G250" s="17" t="str">
        <f>IF(F250="","",IFERROR(VLOOKUP(F250,COA!A:B,2,FALSE),"-"))</f>
        <v/>
      </c>
      <c r="H250" s="20"/>
    </row>
    <row r="251">
      <c r="A251" s="43"/>
      <c r="D251" s="17"/>
      <c r="E251" s="17" t="str">
        <f>IF(D251="","",IFERROR(VLOOKUP(D251,COA!A:B,2,FALSE),"-"))</f>
        <v/>
      </c>
      <c r="F251" s="17"/>
      <c r="G251" s="17" t="str">
        <f>IF(F251="","",IFERROR(VLOOKUP(F251,COA!A:B,2,FALSE),"-"))</f>
        <v/>
      </c>
      <c r="H251" s="20"/>
    </row>
    <row r="252">
      <c r="A252" s="43"/>
      <c r="D252" s="17"/>
      <c r="E252" s="17" t="str">
        <f>IF(D252="","",IFERROR(VLOOKUP(D252,COA!A:B,2,FALSE),"-"))</f>
        <v/>
      </c>
      <c r="F252" s="17"/>
      <c r="G252" s="17" t="str">
        <f>IF(F252="","",IFERROR(VLOOKUP(F252,COA!A:B,2,FALSE),"-"))</f>
        <v/>
      </c>
      <c r="H252" s="20"/>
    </row>
    <row r="253">
      <c r="A253" s="43"/>
      <c r="D253" s="17"/>
      <c r="E253" s="17" t="str">
        <f>IF(D253="","",IFERROR(VLOOKUP(D253,COA!A:B,2,FALSE),"-"))</f>
        <v/>
      </c>
      <c r="F253" s="17"/>
      <c r="G253" s="17" t="str">
        <f>IF(F253="","",IFERROR(VLOOKUP(F253,COA!A:B,2,FALSE),"-"))</f>
        <v/>
      </c>
      <c r="H253" s="20"/>
    </row>
    <row r="254">
      <c r="A254" s="43"/>
      <c r="D254" s="17"/>
      <c r="E254" s="17" t="str">
        <f>IF(D254="","",IFERROR(VLOOKUP(D254,COA!A:B,2,FALSE),"-"))</f>
        <v/>
      </c>
      <c r="F254" s="17"/>
      <c r="G254" s="17" t="str">
        <f>IF(F254="","",IFERROR(VLOOKUP(F254,COA!A:B,2,FALSE),"-"))</f>
        <v/>
      </c>
      <c r="H254" s="20"/>
    </row>
    <row r="255">
      <c r="A255" s="43"/>
      <c r="D255" s="17"/>
      <c r="E255" s="17" t="str">
        <f>IF(D255="","",IFERROR(VLOOKUP(D255,COA!A:B,2,FALSE),"-"))</f>
        <v/>
      </c>
      <c r="F255" s="17"/>
      <c r="G255" s="17" t="str">
        <f>IF(F255="","",IFERROR(VLOOKUP(F255,COA!A:B,2,FALSE),"-"))</f>
        <v/>
      </c>
      <c r="H255" s="20"/>
    </row>
    <row r="256">
      <c r="A256" s="43"/>
      <c r="D256" s="17"/>
      <c r="E256" s="17" t="str">
        <f>IF(D256="","",IFERROR(VLOOKUP(D256,COA!A:B,2,FALSE),"-"))</f>
        <v/>
      </c>
      <c r="F256" s="17"/>
      <c r="G256" s="17" t="str">
        <f>IF(F256="","",IFERROR(VLOOKUP(F256,COA!A:B,2,FALSE),"-"))</f>
        <v/>
      </c>
      <c r="H256" s="20"/>
    </row>
    <row r="257">
      <c r="A257" s="43"/>
      <c r="D257" s="17"/>
      <c r="E257" s="17" t="str">
        <f>IF(D257="","",IFERROR(VLOOKUP(D257,COA!A:B,2,FALSE),"-"))</f>
        <v/>
      </c>
      <c r="F257" s="17"/>
      <c r="G257" s="17" t="str">
        <f>IF(F257="","",IFERROR(VLOOKUP(F257,COA!A:B,2,FALSE),"-"))</f>
        <v/>
      </c>
      <c r="H257" s="20"/>
    </row>
    <row r="258">
      <c r="A258" s="43"/>
      <c r="D258" s="17"/>
      <c r="E258" s="17" t="str">
        <f>IF(D258="","",IFERROR(VLOOKUP(D258,COA!A:B,2,FALSE),"-"))</f>
        <v/>
      </c>
      <c r="F258" s="17"/>
      <c r="G258" s="17" t="str">
        <f>IF(F258="","",IFERROR(VLOOKUP(F258,COA!A:B,2,FALSE),"-"))</f>
        <v/>
      </c>
      <c r="H258" s="20"/>
    </row>
    <row r="259">
      <c r="A259" s="43"/>
      <c r="D259" s="17"/>
      <c r="E259" s="17" t="str">
        <f>IF(D259="","",IFERROR(VLOOKUP(D259,COA!A:B,2,FALSE),"-"))</f>
        <v/>
      </c>
      <c r="F259" s="17"/>
      <c r="G259" s="17" t="str">
        <f>IF(F259="","",IFERROR(VLOOKUP(F259,COA!A:B,2,FALSE),"-"))</f>
        <v/>
      </c>
      <c r="H259" s="20"/>
    </row>
    <row r="260">
      <c r="A260" s="43"/>
      <c r="D260" s="17"/>
      <c r="E260" s="17" t="str">
        <f>IF(D260="","",IFERROR(VLOOKUP(D260,COA!A:B,2,FALSE),"-"))</f>
        <v/>
      </c>
      <c r="F260" s="17"/>
      <c r="G260" s="17" t="str">
        <f>IF(F260="","",IFERROR(VLOOKUP(F260,COA!A:B,2,FALSE),"-"))</f>
        <v/>
      </c>
      <c r="H260" s="20"/>
    </row>
    <row r="261">
      <c r="A261" s="43"/>
      <c r="D261" s="17"/>
      <c r="E261" s="17" t="str">
        <f>IF(D261="","",IFERROR(VLOOKUP(D261,COA!A:B,2,FALSE),"-"))</f>
        <v/>
      </c>
      <c r="F261" s="17"/>
      <c r="G261" s="17" t="str">
        <f>IF(F261="","",IFERROR(VLOOKUP(F261,COA!A:B,2,FALSE),"-"))</f>
        <v/>
      </c>
      <c r="H261" s="20"/>
    </row>
    <row r="262">
      <c r="A262" s="43"/>
      <c r="D262" s="17"/>
      <c r="E262" s="17" t="str">
        <f>IF(D262="","",IFERROR(VLOOKUP(D262,COA!A:B,2,FALSE),"-"))</f>
        <v/>
      </c>
      <c r="F262" s="17"/>
      <c r="G262" s="17" t="str">
        <f>IF(F262="","",IFERROR(VLOOKUP(F262,COA!A:B,2,FALSE),"-"))</f>
        <v/>
      </c>
      <c r="H262" s="20"/>
    </row>
    <row r="263">
      <c r="A263" s="43"/>
      <c r="D263" s="17"/>
      <c r="E263" s="17" t="str">
        <f>IF(D263="","",IFERROR(VLOOKUP(D263,COA!A:B,2,FALSE),"-"))</f>
        <v/>
      </c>
      <c r="F263" s="17"/>
      <c r="G263" s="17" t="str">
        <f>IF(F263="","",IFERROR(VLOOKUP(F263,COA!A:B,2,FALSE),"-"))</f>
        <v/>
      </c>
      <c r="H263" s="20"/>
    </row>
    <row r="264">
      <c r="A264" s="43"/>
      <c r="D264" s="17"/>
      <c r="E264" s="17" t="str">
        <f>IF(D264="","",IFERROR(VLOOKUP(D264,COA!A:B,2,FALSE),"-"))</f>
        <v/>
      </c>
      <c r="F264" s="17"/>
      <c r="G264" s="17" t="str">
        <f>IF(F264="","",IFERROR(VLOOKUP(F264,COA!A:B,2,FALSE),"-"))</f>
        <v/>
      </c>
      <c r="H264" s="20"/>
    </row>
    <row r="265">
      <c r="A265" s="43"/>
      <c r="D265" s="17"/>
      <c r="E265" s="17" t="str">
        <f>IF(D265="","",IFERROR(VLOOKUP(D265,COA!A:B,2,FALSE),"-"))</f>
        <v/>
      </c>
      <c r="F265" s="17"/>
      <c r="G265" s="17" t="str">
        <f>IF(F265="","",IFERROR(VLOOKUP(F265,COA!A:B,2,FALSE),"-"))</f>
        <v/>
      </c>
      <c r="H265" s="20"/>
    </row>
    <row r="266">
      <c r="A266" s="43"/>
      <c r="D266" s="17"/>
      <c r="E266" s="17" t="str">
        <f>IF(D266="","",IFERROR(VLOOKUP(D266,COA!A:B,2,FALSE),"-"))</f>
        <v/>
      </c>
      <c r="F266" s="17"/>
      <c r="G266" s="17" t="str">
        <f>IF(F266="","",IFERROR(VLOOKUP(F266,COA!A:B,2,FALSE),"-"))</f>
        <v/>
      </c>
      <c r="H266" s="20"/>
    </row>
    <row r="267">
      <c r="A267" s="43"/>
      <c r="D267" s="17"/>
      <c r="E267" s="17" t="str">
        <f>IF(D267="","",IFERROR(VLOOKUP(D267,COA!A:B,2,FALSE),"-"))</f>
        <v/>
      </c>
      <c r="F267" s="17"/>
      <c r="G267" s="17" t="str">
        <f>IF(F267="","",IFERROR(VLOOKUP(F267,COA!A:B,2,FALSE),"-"))</f>
        <v/>
      </c>
      <c r="H267" s="20"/>
    </row>
    <row r="268">
      <c r="A268" s="43"/>
      <c r="D268" s="17"/>
      <c r="E268" s="17" t="str">
        <f>IF(D268="","",IFERROR(VLOOKUP(D268,COA!A:B,2,FALSE),"-"))</f>
        <v/>
      </c>
      <c r="F268" s="17"/>
      <c r="G268" s="17" t="str">
        <f>IF(F268="","",IFERROR(VLOOKUP(F268,COA!A:B,2,FALSE),"-"))</f>
        <v/>
      </c>
      <c r="H268" s="20"/>
    </row>
    <row r="269">
      <c r="A269" s="43"/>
      <c r="D269" s="17"/>
      <c r="E269" s="17" t="str">
        <f>IF(D269="","",IFERROR(VLOOKUP(D269,COA!A:B,2,FALSE),"-"))</f>
        <v/>
      </c>
      <c r="F269" s="17"/>
      <c r="G269" s="17" t="str">
        <f>IF(F269="","",IFERROR(VLOOKUP(F269,COA!A:B,2,FALSE),"-"))</f>
        <v/>
      </c>
      <c r="H269" s="20"/>
    </row>
    <row r="270">
      <c r="A270" s="43"/>
      <c r="D270" s="17"/>
      <c r="E270" s="17" t="str">
        <f>IF(D270="","",IFERROR(VLOOKUP(D270,COA!A:B,2,FALSE),"-"))</f>
        <v/>
      </c>
      <c r="F270" s="17"/>
      <c r="G270" s="17" t="str">
        <f>IF(F270="","",IFERROR(VLOOKUP(F270,COA!A:B,2,FALSE),"-"))</f>
        <v/>
      </c>
      <c r="H270" s="20"/>
    </row>
    <row r="271">
      <c r="A271" s="43"/>
      <c r="D271" s="17"/>
      <c r="E271" s="17" t="str">
        <f>IF(D271="","",IFERROR(VLOOKUP(D271,COA!A:B,2,FALSE),"-"))</f>
        <v/>
      </c>
      <c r="F271" s="17"/>
      <c r="G271" s="17" t="str">
        <f>IF(F271="","",IFERROR(VLOOKUP(F271,COA!A:B,2,FALSE),"-"))</f>
        <v/>
      </c>
      <c r="H271" s="20"/>
    </row>
    <row r="272">
      <c r="A272" s="43"/>
      <c r="D272" s="17"/>
      <c r="E272" s="17" t="str">
        <f>IF(D272="","",IFERROR(VLOOKUP(D272,COA!A:B,2,FALSE),"-"))</f>
        <v/>
      </c>
      <c r="F272" s="17"/>
      <c r="G272" s="17" t="str">
        <f>IF(F272="","",IFERROR(VLOOKUP(F272,COA!A:B,2,FALSE),"-"))</f>
        <v/>
      </c>
      <c r="H272" s="20"/>
    </row>
    <row r="273">
      <c r="A273" s="43"/>
      <c r="D273" s="17"/>
      <c r="E273" s="17" t="str">
        <f>IF(D273="","",IFERROR(VLOOKUP(D273,COA!A:B,2,FALSE),"-"))</f>
        <v/>
      </c>
      <c r="F273" s="17"/>
      <c r="G273" s="17" t="str">
        <f>IF(F273="","",IFERROR(VLOOKUP(F273,COA!A:B,2,FALSE),"-"))</f>
        <v/>
      </c>
      <c r="H273" s="20"/>
    </row>
    <row r="274">
      <c r="A274" s="43"/>
      <c r="D274" s="17"/>
      <c r="E274" s="17" t="str">
        <f>IF(D274="","",IFERROR(VLOOKUP(D274,COA!A:B,2,FALSE),"-"))</f>
        <v/>
      </c>
      <c r="F274" s="17"/>
      <c r="G274" s="17" t="str">
        <f>IF(F274="","",IFERROR(VLOOKUP(F274,COA!A:B,2,FALSE),"-"))</f>
        <v/>
      </c>
      <c r="H274" s="20"/>
    </row>
    <row r="275">
      <c r="A275" s="43"/>
      <c r="D275" s="17"/>
      <c r="E275" s="17" t="str">
        <f>IF(D275="","",IFERROR(VLOOKUP(D275,COA!A:B,2,FALSE),"-"))</f>
        <v/>
      </c>
      <c r="F275" s="17"/>
      <c r="G275" s="17" t="str">
        <f>IF(F275="","",IFERROR(VLOOKUP(F275,COA!A:B,2,FALSE),"-"))</f>
        <v/>
      </c>
      <c r="H275" s="20"/>
    </row>
    <row r="276">
      <c r="A276" s="43"/>
      <c r="D276" s="17"/>
      <c r="E276" s="17" t="str">
        <f>IF(D276="","",IFERROR(VLOOKUP(D276,COA!A:B,2,FALSE),"-"))</f>
        <v/>
      </c>
      <c r="F276" s="17"/>
      <c r="G276" s="17" t="str">
        <f>IF(F276="","",IFERROR(VLOOKUP(F276,COA!A:B,2,FALSE),"-"))</f>
        <v/>
      </c>
      <c r="H276" s="20"/>
    </row>
    <row r="277">
      <c r="A277" s="43"/>
      <c r="D277" s="17"/>
      <c r="E277" s="17" t="str">
        <f>IF(D277="","",IFERROR(VLOOKUP(D277,COA!A:B,2,FALSE),"-"))</f>
        <v/>
      </c>
      <c r="F277" s="17"/>
      <c r="G277" s="17" t="str">
        <f>IF(F277="","",IFERROR(VLOOKUP(F277,COA!A:B,2,FALSE),"-"))</f>
        <v/>
      </c>
      <c r="H277" s="20"/>
    </row>
    <row r="278">
      <c r="A278" s="43"/>
      <c r="D278" s="17"/>
      <c r="E278" s="17" t="str">
        <f>IF(D278="","",IFERROR(VLOOKUP(D278,COA!A:B,2,FALSE),"-"))</f>
        <v/>
      </c>
      <c r="F278" s="17"/>
      <c r="G278" s="17" t="str">
        <f>IF(F278="","",IFERROR(VLOOKUP(F278,COA!A:B,2,FALSE),"-"))</f>
        <v/>
      </c>
      <c r="H278" s="20"/>
    </row>
    <row r="279">
      <c r="A279" s="43"/>
      <c r="D279" s="17"/>
      <c r="E279" s="17" t="str">
        <f>IF(D279="","",IFERROR(VLOOKUP(D279,COA!A:B,2,FALSE),"-"))</f>
        <v/>
      </c>
      <c r="F279" s="17"/>
      <c r="G279" s="17" t="str">
        <f>IF(F279="","",IFERROR(VLOOKUP(F279,COA!A:B,2,FALSE),"-"))</f>
        <v/>
      </c>
      <c r="H279" s="20"/>
    </row>
    <row r="280">
      <c r="A280" s="43"/>
      <c r="D280" s="17"/>
      <c r="E280" s="17" t="str">
        <f>IF(D280="","",IFERROR(VLOOKUP(D280,COA!A:B,2,FALSE),"-"))</f>
        <v/>
      </c>
      <c r="F280" s="17"/>
      <c r="G280" s="17" t="str">
        <f>IF(F280="","",IFERROR(VLOOKUP(F280,COA!A:B,2,FALSE),"-"))</f>
        <v/>
      </c>
      <c r="H280" s="20"/>
    </row>
    <row r="281">
      <c r="A281" s="43"/>
      <c r="D281" s="17"/>
      <c r="E281" s="17" t="str">
        <f>IF(D281="","",IFERROR(VLOOKUP(D281,COA!A:B,2,FALSE),"-"))</f>
        <v/>
      </c>
      <c r="F281" s="17"/>
      <c r="G281" s="17" t="str">
        <f>IF(F281="","",IFERROR(VLOOKUP(F281,COA!A:B,2,FALSE),"-"))</f>
        <v/>
      </c>
      <c r="H281" s="20"/>
    </row>
    <row r="282">
      <c r="A282" s="43"/>
      <c r="D282" s="17"/>
      <c r="E282" s="17" t="str">
        <f>IF(D282="","",IFERROR(VLOOKUP(D282,COA!A:B,2,FALSE),"-"))</f>
        <v/>
      </c>
      <c r="F282" s="17"/>
      <c r="G282" s="17" t="str">
        <f>IF(F282="","",IFERROR(VLOOKUP(F282,COA!A:B,2,FALSE),"-"))</f>
        <v/>
      </c>
      <c r="H282" s="20"/>
    </row>
    <row r="283">
      <c r="A283" s="43"/>
      <c r="D283" s="17"/>
      <c r="E283" s="17" t="str">
        <f>IF(D283="","",IFERROR(VLOOKUP(D283,COA!A:B,2,FALSE),"-"))</f>
        <v/>
      </c>
      <c r="F283" s="17"/>
      <c r="G283" s="17" t="str">
        <f>IF(F283="","",IFERROR(VLOOKUP(F283,COA!A:B,2,FALSE),"-"))</f>
        <v/>
      </c>
      <c r="H283" s="20"/>
    </row>
    <row r="284">
      <c r="A284" s="43"/>
      <c r="D284" s="17"/>
      <c r="E284" s="17" t="str">
        <f>IF(D284="","",IFERROR(VLOOKUP(D284,COA!A:B,2,FALSE),"-"))</f>
        <v/>
      </c>
      <c r="F284" s="17"/>
      <c r="G284" s="17" t="str">
        <f>IF(F284="","",IFERROR(VLOOKUP(F284,COA!A:B,2,FALSE),"-"))</f>
        <v/>
      </c>
      <c r="H284" s="20"/>
    </row>
    <row r="285">
      <c r="A285" s="43"/>
      <c r="D285" s="17"/>
      <c r="E285" s="17" t="str">
        <f>IF(D285="","",IFERROR(VLOOKUP(D285,COA!A:B,2,FALSE),"-"))</f>
        <v/>
      </c>
      <c r="F285" s="17"/>
      <c r="G285" s="17" t="str">
        <f>IF(F285="","",IFERROR(VLOOKUP(F285,COA!A:B,2,FALSE),"-"))</f>
        <v/>
      </c>
      <c r="H285" s="20"/>
    </row>
    <row r="286">
      <c r="A286" s="43"/>
      <c r="D286" s="17"/>
      <c r="E286" s="17" t="str">
        <f>IF(D286="","",IFERROR(VLOOKUP(D286,COA!A:B,2,FALSE),"-"))</f>
        <v/>
      </c>
      <c r="F286" s="17"/>
      <c r="G286" s="17" t="str">
        <f>IF(F286="","",IFERROR(VLOOKUP(F286,COA!A:B,2,FALSE),"-"))</f>
        <v/>
      </c>
      <c r="H286" s="20"/>
    </row>
    <row r="287">
      <c r="A287" s="43"/>
      <c r="D287" s="17"/>
      <c r="E287" s="17" t="str">
        <f>IF(D287="","",IFERROR(VLOOKUP(D287,COA!A:B,2,FALSE),"-"))</f>
        <v/>
      </c>
      <c r="F287" s="17"/>
      <c r="G287" s="17" t="str">
        <f>IF(F287="","",IFERROR(VLOOKUP(F287,COA!A:B,2,FALSE),"-"))</f>
        <v/>
      </c>
      <c r="H287" s="20"/>
    </row>
    <row r="288">
      <c r="A288" s="43"/>
      <c r="D288" s="17"/>
      <c r="E288" s="17" t="str">
        <f>IF(D288="","",IFERROR(VLOOKUP(D288,COA!A:B,2,FALSE),"-"))</f>
        <v/>
      </c>
      <c r="F288" s="17"/>
      <c r="G288" s="17" t="str">
        <f>IF(F288="","",IFERROR(VLOOKUP(F288,COA!A:B,2,FALSE),"-"))</f>
        <v/>
      </c>
      <c r="H288" s="20"/>
    </row>
    <row r="289">
      <c r="A289" s="43"/>
      <c r="D289" s="17"/>
      <c r="E289" s="17" t="str">
        <f>IF(D289="","",IFERROR(VLOOKUP(D289,COA!A:B,2,FALSE),"-"))</f>
        <v/>
      </c>
      <c r="F289" s="17"/>
      <c r="G289" s="17" t="str">
        <f>IF(F289="","",IFERROR(VLOOKUP(F289,COA!A:B,2,FALSE),"-"))</f>
        <v/>
      </c>
      <c r="H289" s="20"/>
    </row>
    <row r="290">
      <c r="A290" s="43"/>
      <c r="D290" s="17"/>
      <c r="E290" s="17" t="str">
        <f>IF(D290="","",IFERROR(VLOOKUP(D290,COA!A:B,2,FALSE),"-"))</f>
        <v/>
      </c>
      <c r="F290" s="17"/>
      <c r="G290" s="17" t="str">
        <f>IF(F290="","",IFERROR(VLOOKUP(F290,COA!A:B,2,FALSE),"-"))</f>
        <v/>
      </c>
      <c r="H290" s="20"/>
    </row>
    <row r="291">
      <c r="A291" s="43"/>
      <c r="D291" s="17"/>
      <c r="E291" s="17" t="str">
        <f>IF(D291="","",IFERROR(VLOOKUP(D291,COA!A:B,2,FALSE),"-"))</f>
        <v/>
      </c>
      <c r="F291" s="17"/>
      <c r="G291" s="17" t="str">
        <f>IF(F291="","",IFERROR(VLOOKUP(F291,COA!A:B,2,FALSE),"-"))</f>
        <v/>
      </c>
      <c r="H291" s="20"/>
    </row>
    <row r="292">
      <c r="A292" s="43"/>
      <c r="D292" s="17"/>
      <c r="E292" s="17" t="str">
        <f>IF(D292="","",IFERROR(VLOOKUP(D292,COA!A:B,2,FALSE),"-"))</f>
        <v/>
      </c>
      <c r="F292" s="17"/>
      <c r="G292" s="17" t="str">
        <f>IF(F292="","",IFERROR(VLOOKUP(F292,COA!A:B,2,FALSE),"-"))</f>
        <v/>
      </c>
      <c r="H292" s="20"/>
    </row>
    <row r="293">
      <c r="A293" s="43"/>
      <c r="D293" s="17"/>
      <c r="E293" s="17" t="str">
        <f>IF(D293="","",IFERROR(VLOOKUP(D293,COA!A:B,2,FALSE),"-"))</f>
        <v/>
      </c>
      <c r="F293" s="17"/>
      <c r="G293" s="17" t="str">
        <f>IF(F293="","",IFERROR(VLOOKUP(F293,COA!A:B,2,FALSE),"-"))</f>
        <v/>
      </c>
      <c r="H293" s="20"/>
    </row>
    <row r="294">
      <c r="A294" s="43"/>
      <c r="D294" s="17"/>
      <c r="E294" s="17" t="str">
        <f>IF(D294="","",IFERROR(VLOOKUP(D294,COA!A:B,2,FALSE),"-"))</f>
        <v/>
      </c>
      <c r="F294" s="17"/>
      <c r="G294" s="17" t="str">
        <f>IF(F294="","",IFERROR(VLOOKUP(F294,COA!A:B,2,FALSE),"-"))</f>
        <v/>
      </c>
      <c r="H294" s="20"/>
    </row>
    <row r="295">
      <c r="A295" s="43"/>
      <c r="D295" s="17"/>
      <c r="E295" s="17" t="str">
        <f>IF(D295="","",IFERROR(VLOOKUP(D295,COA!A:B,2,FALSE),"-"))</f>
        <v/>
      </c>
      <c r="F295" s="17"/>
      <c r="G295" s="17" t="str">
        <f>IF(F295="","",IFERROR(VLOOKUP(F295,COA!A:B,2,FALSE),"-"))</f>
        <v/>
      </c>
      <c r="H295" s="20"/>
    </row>
    <row r="296">
      <c r="A296" s="43"/>
      <c r="D296" s="17"/>
      <c r="E296" s="17" t="str">
        <f>IF(D296="","",IFERROR(VLOOKUP(D296,COA!A:B,2,FALSE),"-"))</f>
        <v/>
      </c>
      <c r="F296" s="17"/>
      <c r="G296" s="17" t="str">
        <f>IF(F296="","",IFERROR(VLOOKUP(F296,COA!A:B,2,FALSE),"-"))</f>
        <v/>
      </c>
      <c r="H296" s="20"/>
    </row>
    <row r="297">
      <c r="A297" s="43"/>
      <c r="D297" s="17"/>
      <c r="E297" s="17" t="str">
        <f>IF(D297="","",IFERROR(VLOOKUP(D297,COA!A:B,2,FALSE),"-"))</f>
        <v/>
      </c>
      <c r="F297" s="17"/>
      <c r="G297" s="17" t="str">
        <f>IF(F297="","",IFERROR(VLOOKUP(F297,COA!A:B,2,FALSE),"-"))</f>
        <v/>
      </c>
      <c r="H297" s="20"/>
    </row>
    <row r="298">
      <c r="A298" s="43"/>
      <c r="D298" s="17"/>
      <c r="E298" s="17" t="str">
        <f>IF(D298="","",IFERROR(VLOOKUP(D298,COA!A:B,2,FALSE),"-"))</f>
        <v/>
      </c>
      <c r="F298" s="17"/>
      <c r="G298" s="17" t="str">
        <f>IF(F298="","",IFERROR(VLOOKUP(F298,COA!A:B,2,FALSE),"-"))</f>
        <v/>
      </c>
      <c r="H298" s="20"/>
    </row>
    <row r="299">
      <c r="A299" s="43"/>
      <c r="D299" s="17"/>
      <c r="E299" s="17" t="str">
        <f>IF(D299="","",IFERROR(VLOOKUP(D299,COA!A:B,2,FALSE),"-"))</f>
        <v/>
      </c>
      <c r="F299" s="17"/>
      <c r="G299" s="17" t="str">
        <f>IF(F299="","",IFERROR(VLOOKUP(F299,COA!A:B,2,FALSE),"-"))</f>
        <v/>
      </c>
      <c r="H299" s="20"/>
    </row>
    <row r="300">
      <c r="A300" s="43"/>
      <c r="D300" s="17"/>
      <c r="E300" s="17" t="str">
        <f>IF(D300="","",IFERROR(VLOOKUP(D300,COA!A:B,2,FALSE),"-"))</f>
        <v/>
      </c>
      <c r="F300" s="17"/>
      <c r="G300" s="17" t="str">
        <f>IF(F300="","",IFERROR(VLOOKUP(F300,COA!A:B,2,FALSE),"-"))</f>
        <v/>
      </c>
      <c r="H300" s="20"/>
    </row>
    <row r="301">
      <c r="A301" s="43"/>
      <c r="D301" s="17"/>
      <c r="E301" s="17" t="str">
        <f>IF(D301="","",IFERROR(VLOOKUP(D301,COA!A:B,2,FALSE),"-"))</f>
        <v/>
      </c>
      <c r="F301" s="17"/>
      <c r="G301" s="17" t="str">
        <f>IF(F301="","",IFERROR(VLOOKUP(F301,COA!A:B,2,FALSE),"-"))</f>
        <v/>
      </c>
      <c r="H301" s="20"/>
    </row>
    <row r="302">
      <c r="A302" s="43"/>
      <c r="D302" s="17"/>
      <c r="E302" s="17" t="str">
        <f>IF(D302="","",IFERROR(VLOOKUP(D302,COA!A:B,2,FALSE),"-"))</f>
        <v/>
      </c>
      <c r="F302" s="17"/>
      <c r="G302" s="17" t="str">
        <f>IF(F302="","",IFERROR(VLOOKUP(F302,COA!A:B,2,FALSE),"-"))</f>
        <v/>
      </c>
      <c r="H302" s="20"/>
    </row>
    <row r="303">
      <c r="A303" s="43"/>
      <c r="D303" s="17"/>
      <c r="E303" s="17" t="str">
        <f>IF(D303="","",IFERROR(VLOOKUP(D303,COA!A:B,2,FALSE),"-"))</f>
        <v/>
      </c>
      <c r="F303" s="17"/>
      <c r="G303" s="17" t="str">
        <f>IF(F303="","",IFERROR(VLOOKUP(F303,COA!A:B,2,FALSE),"-"))</f>
        <v/>
      </c>
      <c r="H303" s="20"/>
    </row>
    <row r="304">
      <c r="A304" s="43"/>
      <c r="D304" s="17"/>
      <c r="E304" s="17" t="str">
        <f>IF(D304="","",IFERROR(VLOOKUP(D304,COA!A:B,2,FALSE),"-"))</f>
        <v/>
      </c>
      <c r="F304" s="17"/>
      <c r="G304" s="17" t="str">
        <f>IF(F304="","",IFERROR(VLOOKUP(F304,COA!A:B,2,FALSE),"-"))</f>
        <v/>
      </c>
      <c r="H304" s="20"/>
    </row>
    <row r="305">
      <c r="A305" s="43"/>
      <c r="D305" s="17"/>
      <c r="E305" s="17" t="str">
        <f>IF(D305="","",IFERROR(VLOOKUP(D305,COA!A:B,2,FALSE),"-"))</f>
        <v/>
      </c>
      <c r="F305" s="17"/>
      <c r="G305" s="17" t="str">
        <f>IF(F305="","",IFERROR(VLOOKUP(F305,COA!A:B,2,FALSE),"-"))</f>
        <v/>
      </c>
      <c r="H305" s="20"/>
    </row>
    <row r="306">
      <c r="A306" s="43"/>
      <c r="D306" s="17"/>
      <c r="E306" s="17" t="str">
        <f>IF(D306="","",IFERROR(VLOOKUP(D306,COA!A:B,2,FALSE),"-"))</f>
        <v/>
      </c>
      <c r="F306" s="17"/>
      <c r="G306" s="17" t="str">
        <f>IF(F306="","",IFERROR(VLOOKUP(F306,COA!A:B,2,FALSE),"-"))</f>
        <v/>
      </c>
      <c r="H306" s="20"/>
    </row>
    <row r="307">
      <c r="A307" s="43"/>
      <c r="D307" s="17"/>
      <c r="E307" s="17" t="str">
        <f>IF(D307="","",IFERROR(VLOOKUP(D307,COA!A:B,2,FALSE),"-"))</f>
        <v/>
      </c>
      <c r="F307" s="17"/>
      <c r="G307" s="17" t="str">
        <f>IF(F307="","",IFERROR(VLOOKUP(F307,COA!A:B,2,FALSE),"-"))</f>
        <v/>
      </c>
      <c r="H307" s="20"/>
    </row>
    <row r="308">
      <c r="A308" s="43"/>
      <c r="D308" s="17"/>
      <c r="E308" s="17" t="str">
        <f>IF(D308="","",IFERROR(VLOOKUP(D308,COA!A:B,2,FALSE),"-"))</f>
        <v/>
      </c>
      <c r="F308" s="17"/>
      <c r="G308" s="17" t="str">
        <f>IF(F308="","",IFERROR(VLOOKUP(F308,COA!A:B,2,FALSE),"-"))</f>
        <v/>
      </c>
      <c r="H308" s="20"/>
    </row>
    <row r="309">
      <c r="A309" s="43"/>
      <c r="D309" s="17"/>
      <c r="E309" s="17" t="str">
        <f>IF(D309="","",IFERROR(VLOOKUP(D309,COA!A:B,2,FALSE),"-"))</f>
        <v/>
      </c>
      <c r="F309" s="17"/>
      <c r="G309" s="17" t="str">
        <f>IF(F309="","",IFERROR(VLOOKUP(F309,COA!A:B,2,FALSE),"-"))</f>
        <v/>
      </c>
      <c r="H309" s="20"/>
    </row>
    <row r="310">
      <c r="A310" s="43"/>
      <c r="D310" s="17"/>
      <c r="E310" s="17" t="str">
        <f>IF(D310="","",IFERROR(VLOOKUP(D310,COA!A:B,2,FALSE),"-"))</f>
        <v/>
      </c>
      <c r="F310" s="17"/>
      <c r="G310" s="17" t="str">
        <f>IF(F310="","",IFERROR(VLOOKUP(F310,COA!A:B,2,FALSE),"-"))</f>
        <v/>
      </c>
      <c r="H310" s="20"/>
    </row>
    <row r="311">
      <c r="A311" s="43"/>
      <c r="D311" s="17"/>
      <c r="E311" s="17" t="str">
        <f>IF(D311="","",IFERROR(VLOOKUP(D311,COA!A:B,2,FALSE),"-"))</f>
        <v/>
      </c>
      <c r="F311" s="17"/>
      <c r="G311" s="17" t="str">
        <f>IF(F311="","",IFERROR(VLOOKUP(F311,COA!A:B,2,FALSE),"-"))</f>
        <v/>
      </c>
      <c r="H311" s="20"/>
    </row>
    <row r="312">
      <c r="A312" s="43"/>
      <c r="D312" s="17"/>
      <c r="E312" s="17" t="str">
        <f>IF(D312="","",IFERROR(VLOOKUP(D312,COA!A:B,2,FALSE),"-"))</f>
        <v/>
      </c>
      <c r="F312" s="17"/>
      <c r="G312" s="17" t="str">
        <f>IF(F312="","",IFERROR(VLOOKUP(F312,COA!A:B,2,FALSE),"-"))</f>
        <v/>
      </c>
      <c r="H312" s="20"/>
    </row>
    <row r="313">
      <c r="A313" s="43"/>
      <c r="D313" s="17"/>
      <c r="E313" s="17" t="str">
        <f>IF(D313="","",IFERROR(VLOOKUP(D313,COA!A:B,2,FALSE),"-"))</f>
        <v/>
      </c>
      <c r="F313" s="17"/>
      <c r="G313" s="17" t="str">
        <f>IF(F313="","",IFERROR(VLOOKUP(F313,COA!A:B,2,FALSE),"-"))</f>
        <v/>
      </c>
      <c r="H313" s="20"/>
    </row>
    <row r="314">
      <c r="A314" s="43"/>
      <c r="D314" s="17"/>
      <c r="E314" s="17" t="str">
        <f>IF(D314="","",IFERROR(VLOOKUP(D314,COA!A:B,2,FALSE),"-"))</f>
        <v/>
      </c>
      <c r="F314" s="17"/>
      <c r="G314" s="17" t="str">
        <f>IF(F314="","",IFERROR(VLOOKUP(F314,COA!A:B,2,FALSE),"-"))</f>
        <v/>
      </c>
      <c r="H314" s="20"/>
    </row>
    <row r="315">
      <c r="A315" s="43"/>
      <c r="D315" s="17"/>
      <c r="E315" s="17" t="str">
        <f>IF(D315="","",IFERROR(VLOOKUP(D315,COA!A:B,2,FALSE),"-"))</f>
        <v/>
      </c>
      <c r="F315" s="17"/>
      <c r="G315" s="17" t="str">
        <f>IF(F315="","",IFERROR(VLOOKUP(F315,COA!A:B,2,FALSE),"-"))</f>
        <v/>
      </c>
      <c r="H315" s="20"/>
    </row>
    <row r="316">
      <c r="A316" s="43"/>
      <c r="D316" s="17"/>
      <c r="E316" s="17" t="str">
        <f>IF(D316="","",IFERROR(VLOOKUP(D316,COA!A:B,2,FALSE),"-"))</f>
        <v/>
      </c>
      <c r="F316" s="17"/>
      <c r="G316" s="17" t="str">
        <f>IF(F316="","",IFERROR(VLOOKUP(F316,COA!A:B,2,FALSE),"-"))</f>
        <v/>
      </c>
      <c r="H316" s="20"/>
    </row>
    <row r="317">
      <c r="A317" s="43"/>
      <c r="D317" s="17"/>
      <c r="E317" s="17" t="str">
        <f>IF(D317="","",IFERROR(VLOOKUP(D317,COA!A:B,2,FALSE),"-"))</f>
        <v/>
      </c>
      <c r="F317" s="17"/>
      <c r="G317" s="17" t="str">
        <f>IF(F317="","",IFERROR(VLOOKUP(F317,COA!A:B,2,FALSE),"-"))</f>
        <v/>
      </c>
      <c r="H317" s="20"/>
    </row>
    <row r="318">
      <c r="A318" s="43"/>
      <c r="D318" s="17"/>
      <c r="E318" s="17" t="str">
        <f>IF(D318="","",IFERROR(VLOOKUP(D318,COA!A:B,2,FALSE),"-"))</f>
        <v/>
      </c>
      <c r="F318" s="17"/>
      <c r="G318" s="17" t="str">
        <f>IF(F318="","",IFERROR(VLOOKUP(F318,COA!A:B,2,FALSE),"-"))</f>
        <v/>
      </c>
      <c r="H318" s="20"/>
    </row>
    <row r="319">
      <c r="A319" s="43"/>
      <c r="D319" s="17"/>
      <c r="E319" s="17" t="str">
        <f>IF(D319="","",IFERROR(VLOOKUP(D319,COA!A:B,2,FALSE),"-"))</f>
        <v/>
      </c>
      <c r="F319" s="17"/>
      <c r="G319" s="17" t="str">
        <f>IF(F319="","",IFERROR(VLOOKUP(F319,COA!A:B,2,FALSE),"-"))</f>
        <v/>
      </c>
      <c r="H319" s="20"/>
    </row>
    <row r="320">
      <c r="A320" s="43"/>
      <c r="D320" s="17"/>
      <c r="E320" s="17" t="str">
        <f>IF(D320="","",IFERROR(VLOOKUP(D320,COA!A:B,2,FALSE),"-"))</f>
        <v/>
      </c>
      <c r="F320" s="17"/>
      <c r="G320" s="17" t="str">
        <f>IF(F320="","",IFERROR(VLOOKUP(F320,COA!A:B,2,FALSE),"-"))</f>
        <v/>
      </c>
      <c r="H320" s="20"/>
    </row>
    <row r="321">
      <c r="A321" s="43"/>
      <c r="D321" s="17"/>
      <c r="E321" s="17" t="str">
        <f>IF(D321="","",IFERROR(VLOOKUP(D321,COA!A:B,2,FALSE),"-"))</f>
        <v/>
      </c>
      <c r="F321" s="17"/>
      <c r="G321" s="17" t="str">
        <f>IF(F321="","",IFERROR(VLOOKUP(F321,COA!A:B,2,FALSE),"-"))</f>
        <v/>
      </c>
      <c r="H321" s="20"/>
    </row>
    <row r="322">
      <c r="A322" s="43"/>
      <c r="D322" s="17"/>
      <c r="E322" s="17" t="str">
        <f>IF(D322="","",IFERROR(VLOOKUP(D322,COA!A:B,2,FALSE),"-"))</f>
        <v/>
      </c>
      <c r="F322" s="17"/>
      <c r="G322" s="17" t="str">
        <f>IF(F322="","",IFERROR(VLOOKUP(F322,COA!A:B,2,FALSE),"-"))</f>
        <v/>
      </c>
      <c r="H322" s="20"/>
    </row>
    <row r="323">
      <c r="A323" s="43"/>
      <c r="D323" s="17"/>
      <c r="E323" s="17" t="str">
        <f>IF(D323="","",IFERROR(VLOOKUP(D323,COA!A:B,2,FALSE),"-"))</f>
        <v/>
      </c>
      <c r="F323" s="17"/>
      <c r="G323" s="17" t="str">
        <f>IF(F323="","",IFERROR(VLOOKUP(F323,COA!A:B,2,FALSE),"-"))</f>
        <v/>
      </c>
      <c r="H323" s="20"/>
    </row>
    <row r="324">
      <c r="A324" s="43"/>
      <c r="D324" s="17"/>
      <c r="E324" s="17" t="str">
        <f>IF(D324="","",IFERROR(VLOOKUP(D324,COA!A:B,2,FALSE),"-"))</f>
        <v/>
      </c>
      <c r="F324" s="17"/>
      <c r="G324" s="17" t="str">
        <f>IF(F324="","",IFERROR(VLOOKUP(F324,COA!A:B,2,FALSE),"-"))</f>
        <v/>
      </c>
      <c r="H324" s="20"/>
    </row>
    <row r="325">
      <c r="A325" s="43"/>
      <c r="D325" s="17"/>
      <c r="E325" s="17" t="str">
        <f>IF(D325="","",IFERROR(VLOOKUP(D325,COA!A:B,2,FALSE),"-"))</f>
        <v/>
      </c>
      <c r="F325" s="17"/>
      <c r="G325" s="17" t="str">
        <f>IF(F325="","",IFERROR(VLOOKUP(F325,COA!A:B,2,FALSE),"-"))</f>
        <v/>
      </c>
      <c r="H325" s="20"/>
    </row>
    <row r="326">
      <c r="A326" s="43"/>
      <c r="D326" s="17"/>
      <c r="E326" s="17" t="str">
        <f>IF(D326="","",IFERROR(VLOOKUP(D326,COA!A:B,2,FALSE),"-"))</f>
        <v/>
      </c>
      <c r="F326" s="17"/>
      <c r="G326" s="17" t="str">
        <f>IF(F326="","",IFERROR(VLOOKUP(F326,COA!A:B,2,FALSE),"-"))</f>
        <v/>
      </c>
      <c r="H326" s="20"/>
    </row>
    <row r="327">
      <c r="A327" s="43"/>
      <c r="D327" s="17"/>
      <c r="E327" s="17" t="str">
        <f>IF(D327="","",IFERROR(VLOOKUP(D327,COA!A:B,2,FALSE),"-"))</f>
        <v/>
      </c>
      <c r="F327" s="17"/>
      <c r="G327" s="17" t="str">
        <f>IF(F327="","",IFERROR(VLOOKUP(F327,COA!A:B,2,FALSE),"-"))</f>
        <v/>
      </c>
      <c r="H327" s="20"/>
    </row>
    <row r="328">
      <c r="A328" s="43"/>
      <c r="D328" s="17"/>
      <c r="E328" s="17" t="str">
        <f>IF(D328="","",IFERROR(VLOOKUP(D328,COA!A:B,2,FALSE),"-"))</f>
        <v/>
      </c>
      <c r="F328" s="17"/>
      <c r="G328" s="17" t="str">
        <f>IF(F328="","",IFERROR(VLOOKUP(F328,COA!A:B,2,FALSE),"-"))</f>
        <v/>
      </c>
      <c r="H328" s="20"/>
    </row>
    <row r="329">
      <c r="A329" s="43"/>
      <c r="D329" s="17"/>
      <c r="E329" s="17" t="str">
        <f>IF(D329="","",IFERROR(VLOOKUP(D329,COA!A:B,2,FALSE),"-"))</f>
        <v/>
      </c>
      <c r="F329" s="17"/>
      <c r="G329" s="17" t="str">
        <f>IF(F329="","",IFERROR(VLOOKUP(F329,COA!A:B,2,FALSE),"-"))</f>
        <v/>
      </c>
      <c r="H329" s="20"/>
    </row>
    <row r="330">
      <c r="A330" s="43"/>
      <c r="D330" s="17"/>
      <c r="E330" s="17" t="str">
        <f>IF(D330="","",IFERROR(VLOOKUP(D330,COA!A:B,2,FALSE),"-"))</f>
        <v/>
      </c>
      <c r="F330" s="17"/>
      <c r="G330" s="17" t="str">
        <f>IF(F330="","",IFERROR(VLOOKUP(F330,COA!A:B,2,FALSE),"-"))</f>
        <v/>
      </c>
      <c r="H330" s="20"/>
    </row>
    <row r="331">
      <c r="A331" s="43"/>
      <c r="D331" s="17"/>
      <c r="E331" s="17" t="str">
        <f>IF(D331="","",IFERROR(VLOOKUP(D331,COA!A:B,2,FALSE),"-"))</f>
        <v/>
      </c>
      <c r="F331" s="17"/>
      <c r="G331" s="17" t="str">
        <f>IF(F331="","",IFERROR(VLOOKUP(F331,COA!A:B,2,FALSE),"-"))</f>
        <v/>
      </c>
      <c r="H331" s="20"/>
    </row>
    <row r="332">
      <c r="A332" s="43"/>
      <c r="D332" s="17"/>
      <c r="E332" s="17" t="str">
        <f>IF(D332="","",IFERROR(VLOOKUP(D332,COA!A:B,2,FALSE),"-"))</f>
        <v/>
      </c>
      <c r="F332" s="17"/>
      <c r="G332" s="17" t="str">
        <f>IF(F332="","",IFERROR(VLOOKUP(F332,COA!A:B,2,FALSE),"-"))</f>
        <v/>
      </c>
      <c r="H332" s="20"/>
    </row>
    <row r="333">
      <c r="A333" s="43"/>
      <c r="D333" s="17"/>
      <c r="E333" s="17" t="str">
        <f>IF(D333="","",IFERROR(VLOOKUP(D333,COA!A:B,2,FALSE),"-"))</f>
        <v/>
      </c>
      <c r="F333" s="17"/>
      <c r="G333" s="17" t="str">
        <f>IF(F333="","",IFERROR(VLOOKUP(F333,COA!A:B,2,FALSE),"-"))</f>
        <v/>
      </c>
      <c r="H333" s="20"/>
    </row>
    <row r="334">
      <c r="A334" s="43"/>
      <c r="D334" s="17"/>
      <c r="E334" s="17" t="str">
        <f>IF(D334="","",IFERROR(VLOOKUP(D334,COA!A:B,2,FALSE),"-"))</f>
        <v/>
      </c>
      <c r="F334" s="17"/>
      <c r="G334" s="17" t="str">
        <f>IF(F334="","",IFERROR(VLOOKUP(F334,COA!A:B,2,FALSE),"-"))</f>
        <v/>
      </c>
      <c r="H334" s="20"/>
    </row>
    <row r="335">
      <c r="A335" s="43"/>
      <c r="D335" s="17"/>
      <c r="E335" s="17" t="str">
        <f>IF(D335="","",IFERROR(VLOOKUP(D335,COA!A:B,2,FALSE),"-"))</f>
        <v/>
      </c>
      <c r="F335" s="17"/>
      <c r="G335" s="17" t="str">
        <f>IF(F335="","",IFERROR(VLOOKUP(F335,COA!A:B,2,FALSE),"-"))</f>
        <v/>
      </c>
      <c r="H335" s="20"/>
    </row>
    <row r="336">
      <c r="A336" s="43"/>
      <c r="D336" s="17"/>
      <c r="E336" s="17" t="str">
        <f>IF(D336="","",IFERROR(VLOOKUP(D336,COA!A:B,2,FALSE),"-"))</f>
        <v/>
      </c>
      <c r="F336" s="17"/>
      <c r="G336" s="17" t="str">
        <f>IF(F336="","",IFERROR(VLOOKUP(F336,COA!A:B,2,FALSE),"-"))</f>
        <v/>
      </c>
      <c r="H336" s="20"/>
    </row>
    <row r="337">
      <c r="A337" s="43"/>
      <c r="D337" s="17"/>
      <c r="E337" s="17" t="str">
        <f>IF(D337="","",IFERROR(VLOOKUP(D337,COA!A:B,2,FALSE),"-"))</f>
        <v/>
      </c>
      <c r="F337" s="17"/>
      <c r="G337" s="17" t="str">
        <f>IF(F337="","",IFERROR(VLOOKUP(F337,COA!A:B,2,FALSE),"-"))</f>
        <v/>
      </c>
      <c r="H337" s="20"/>
    </row>
    <row r="338">
      <c r="A338" s="43"/>
      <c r="D338" s="17"/>
      <c r="E338" s="17" t="str">
        <f>IF(D338="","",IFERROR(VLOOKUP(D338,COA!A:B,2,FALSE),"-"))</f>
        <v/>
      </c>
      <c r="F338" s="17"/>
      <c r="G338" s="17" t="str">
        <f>IF(F338="","",IFERROR(VLOOKUP(F338,COA!A:B,2,FALSE),"-"))</f>
        <v/>
      </c>
      <c r="H338" s="20"/>
    </row>
    <row r="339">
      <c r="A339" s="43"/>
      <c r="D339" s="17"/>
      <c r="E339" s="17" t="str">
        <f>IF(D339="","",IFERROR(VLOOKUP(D339,COA!A:B,2,FALSE),"-"))</f>
        <v/>
      </c>
      <c r="F339" s="17"/>
      <c r="G339" s="17" t="str">
        <f>IF(F339="","",IFERROR(VLOOKUP(F339,COA!A:B,2,FALSE),"-"))</f>
        <v/>
      </c>
      <c r="H339" s="20"/>
    </row>
    <row r="340">
      <c r="A340" s="43"/>
      <c r="D340" s="17"/>
      <c r="E340" s="17" t="str">
        <f>IF(D340="","",IFERROR(VLOOKUP(D340,COA!A:B,2,FALSE),"-"))</f>
        <v/>
      </c>
      <c r="F340" s="17"/>
      <c r="G340" s="17" t="str">
        <f>IF(F340="","",IFERROR(VLOOKUP(F340,COA!A:B,2,FALSE),"-"))</f>
        <v/>
      </c>
      <c r="H340" s="20"/>
    </row>
    <row r="341">
      <c r="A341" s="43"/>
      <c r="D341" s="17"/>
      <c r="E341" s="17" t="str">
        <f>IF(D341="","",IFERROR(VLOOKUP(D341,COA!A:B,2,FALSE),"-"))</f>
        <v/>
      </c>
      <c r="F341" s="17"/>
      <c r="G341" s="17" t="str">
        <f>IF(F341="","",IFERROR(VLOOKUP(F341,COA!A:B,2,FALSE),"-"))</f>
        <v/>
      </c>
      <c r="H341" s="20"/>
    </row>
    <row r="342">
      <c r="A342" s="43"/>
      <c r="D342" s="17"/>
      <c r="E342" s="17" t="str">
        <f>IF(D342="","",IFERROR(VLOOKUP(D342,COA!A:B,2,FALSE),"-"))</f>
        <v/>
      </c>
      <c r="F342" s="17"/>
      <c r="G342" s="17" t="str">
        <f>IF(F342="","",IFERROR(VLOOKUP(F342,COA!A:B,2,FALSE),"-"))</f>
        <v/>
      </c>
      <c r="H342" s="20"/>
    </row>
    <row r="343">
      <c r="A343" s="43"/>
      <c r="D343" s="17"/>
      <c r="E343" s="17" t="str">
        <f>IF(D343="","",IFERROR(VLOOKUP(D343,COA!A:B,2,FALSE),"-"))</f>
        <v/>
      </c>
      <c r="F343" s="17"/>
      <c r="G343" s="17" t="str">
        <f>IF(F343="","",IFERROR(VLOOKUP(F343,COA!A:B,2,FALSE),"-"))</f>
        <v/>
      </c>
      <c r="H343" s="20"/>
    </row>
    <row r="344">
      <c r="A344" s="43"/>
      <c r="D344" s="17"/>
      <c r="E344" s="17" t="str">
        <f>IF(D344="","",IFERROR(VLOOKUP(D344,COA!A:B,2,FALSE),"-"))</f>
        <v/>
      </c>
      <c r="F344" s="17"/>
      <c r="G344" s="17" t="str">
        <f>IF(F344="","",IFERROR(VLOOKUP(F344,COA!A:B,2,FALSE),"-"))</f>
        <v/>
      </c>
      <c r="H344" s="20"/>
    </row>
    <row r="345">
      <c r="A345" s="43"/>
      <c r="D345" s="17"/>
      <c r="E345" s="17" t="str">
        <f>IF(D345="","",IFERROR(VLOOKUP(D345,COA!A:B,2,FALSE),"-"))</f>
        <v/>
      </c>
      <c r="F345" s="17"/>
      <c r="G345" s="17" t="str">
        <f>IF(F345="","",IFERROR(VLOOKUP(F345,COA!A:B,2,FALSE),"-"))</f>
        <v/>
      </c>
      <c r="H345" s="20"/>
    </row>
    <row r="346">
      <c r="A346" s="43"/>
      <c r="D346" s="17"/>
      <c r="E346" s="17" t="str">
        <f>IF(D346="","",IFERROR(VLOOKUP(D346,COA!A:B,2,FALSE),"-"))</f>
        <v/>
      </c>
      <c r="F346" s="17"/>
      <c r="G346" s="17" t="str">
        <f>IF(F346="","",IFERROR(VLOOKUP(F346,COA!A:B,2,FALSE),"-"))</f>
        <v/>
      </c>
      <c r="H346" s="20"/>
    </row>
    <row r="347">
      <c r="A347" s="43"/>
      <c r="D347" s="17"/>
      <c r="E347" s="17" t="str">
        <f>IF(D347="","",IFERROR(VLOOKUP(D347,COA!A:B,2,FALSE),"-"))</f>
        <v/>
      </c>
      <c r="F347" s="17"/>
      <c r="G347" s="17" t="str">
        <f>IF(F347="","",IFERROR(VLOOKUP(F347,COA!A:B,2,FALSE),"-"))</f>
        <v/>
      </c>
      <c r="H347" s="20"/>
    </row>
    <row r="348">
      <c r="A348" s="43"/>
      <c r="D348" s="17"/>
      <c r="E348" s="17" t="str">
        <f>IF(D348="","",IFERROR(VLOOKUP(D348,COA!A:B,2,FALSE),"-"))</f>
        <v/>
      </c>
      <c r="F348" s="17"/>
      <c r="G348" s="17" t="str">
        <f>IF(F348="","",IFERROR(VLOOKUP(F348,COA!A:B,2,FALSE),"-"))</f>
        <v/>
      </c>
      <c r="H348" s="20"/>
    </row>
    <row r="349">
      <c r="A349" s="43"/>
      <c r="D349" s="17"/>
      <c r="E349" s="17" t="str">
        <f>IF(D349="","",IFERROR(VLOOKUP(D349,COA!A:B,2,FALSE),"-"))</f>
        <v/>
      </c>
      <c r="F349" s="17"/>
      <c r="G349" s="17" t="str">
        <f>IF(F349="","",IFERROR(VLOOKUP(F349,COA!A:B,2,FALSE),"-"))</f>
        <v/>
      </c>
      <c r="H349" s="20"/>
    </row>
    <row r="350">
      <c r="A350" s="43"/>
      <c r="D350" s="17"/>
      <c r="E350" s="17" t="str">
        <f>IF(D350="","",IFERROR(VLOOKUP(D350,COA!A:B,2,FALSE),"-"))</f>
        <v/>
      </c>
      <c r="F350" s="17"/>
      <c r="G350" s="17" t="str">
        <f>IF(F350="","",IFERROR(VLOOKUP(F350,COA!A:B,2,FALSE),"-"))</f>
        <v/>
      </c>
      <c r="H350" s="20"/>
    </row>
    <row r="351">
      <c r="A351" s="43"/>
      <c r="D351" s="17"/>
      <c r="E351" s="17" t="str">
        <f>IF(D351="","",IFERROR(VLOOKUP(D351,COA!A:B,2,FALSE),"-"))</f>
        <v/>
      </c>
      <c r="F351" s="17"/>
      <c r="G351" s="17" t="str">
        <f>IF(F351="","",IFERROR(VLOOKUP(F351,COA!A:B,2,FALSE),"-"))</f>
        <v/>
      </c>
      <c r="H351" s="20"/>
    </row>
    <row r="352">
      <c r="A352" s="43"/>
      <c r="D352" s="17"/>
      <c r="E352" s="17" t="str">
        <f>IF(D352="","",IFERROR(VLOOKUP(D352,COA!A:B,2,FALSE),"-"))</f>
        <v/>
      </c>
      <c r="F352" s="17"/>
      <c r="G352" s="17" t="str">
        <f>IF(F352="","",IFERROR(VLOOKUP(F352,COA!A:B,2,FALSE),"-"))</f>
        <v/>
      </c>
      <c r="H352" s="20"/>
    </row>
    <row r="353">
      <c r="A353" s="43"/>
      <c r="D353" s="17"/>
      <c r="E353" s="17" t="str">
        <f>IF(D353="","",IFERROR(VLOOKUP(D353,COA!A:B,2,FALSE),"-"))</f>
        <v/>
      </c>
      <c r="F353" s="17"/>
      <c r="G353" s="17" t="str">
        <f>IF(F353="","",IFERROR(VLOOKUP(F353,COA!A:B,2,FALSE),"-"))</f>
        <v/>
      </c>
      <c r="H353" s="20"/>
    </row>
    <row r="354">
      <c r="A354" s="43"/>
      <c r="D354" s="17"/>
      <c r="E354" s="17" t="str">
        <f>IF(D354="","",IFERROR(VLOOKUP(D354,COA!A:B,2,FALSE),"-"))</f>
        <v/>
      </c>
      <c r="F354" s="17"/>
      <c r="G354" s="17" t="str">
        <f>IF(F354="","",IFERROR(VLOOKUP(F354,COA!A:B,2,FALSE),"-"))</f>
        <v/>
      </c>
      <c r="H354" s="20"/>
    </row>
    <row r="355">
      <c r="A355" s="43"/>
      <c r="D355" s="17"/>
      <c r="E355" s="17" t="str">
        <f>IF(D355="","",IFERROR(VLOOKUP(D355,COA!A:B,2,FALSE),"-"))</f>
        <v/>
      </c>
      <c r="F355" s="17"/>
      <c r="G355" s="17" t="str">
        <f>IF(F355="","",IFERROR(VLOOKUP(F355,COA!A:B,2,FALSE),"-"))</f>
        <v/>
      </c>
      <c r="H355" s="20"/>
    </row>
    <row r="356">
      <c r="A356" s="43"/>
      <c r="D356" s="17"/>
      <c r="E356" s="17" t="str">
        <f>IF(D356="","",IFERROR(VLOOKUP(D356,COA!A:B,2,FALSE),"-"))</f>
        <v/>
      </c>
      <c r="F356" s="17"/>
      <c r="G356" s="17" t="str">
        <f>IF(F356="","",IFERROR(VLOOKUP(F356,COA!A:B,2,FALSE),"-"))</f>
        <v/>
      </c>
      <c r="H356" s="20"/>
    </row>
    <row r="357">
      <c r="A357" s="43"/>
      <c r="D357" s="17"/>
      <c r="E357" s="17" t="str">
        <f>IF(D357="","",IFERROR(VLOOKUP(D357,COA!A:B,2,FALSE),"-"))</f>
        <v/>
      </c>
      <c r="F357" s="17"/>
      <c r="G357" s="17" t="str">
        <f>IF(F357="","",IFERROR(VLOOKUP(F357,COA!A:B,2,FALSE),"-"))</f>
        <v/>
      </c>
      <c r="H357" s="20"/>
    </row>
    <row r="358">
      <c r="A358" s="43"/>
      <c r="D358" s="17"/>
      <c r="E358" s="17" t="str">
        <f>IF(D358="","",IFERROR(VLOOKUP(D358,COA!A:B,2,FALSE),"-"))</f>
        <v/>
      </c>
      <c r="F358" s="17"/>
      <c r="G358" s="17" t="str">
        <f>IF(F358="","",IFERROR(VLOOKUP(F358,COA!A:B,2,FALSE),"-"))</f>
        <v/>
      </c>
      <c r="H358" s="20"/>
    </row>
    <row r="359">
      <c r="A359" s="43"/>
      <c r="D359" s="17"/>
      <c r="E359" s="17" t="str">
        <f>IF(D359="","",IFERROR(VLOOKUP(D359,COA!A:B,2,FALSE),"-"))</f>
        <v/>
      </c>
      <c r="F359" s="17"/>
      <c r="G359" s="17" t="str">
        <f>IF(F359="","",IFERROR(VLOOKUP(F359,COA!A:B,2,FALSE),"-"))</f>
        <v/>
      </c>
      <c r="H359" s="20"/>
    </row>
    <row r="360">
      <c r="A360" s="43"/>
      <c r="D360" s="17"/>
      <c r="E360" s="17" t="str">
        <f>IF(D360="","",IFERROR(VLOOKUP(D360,COA!A:B,2,FALSE),"-"))</f>
        <v/>
      </c>
      <c r="F360" s="17"/>
      <c r="G360" s="17" t="str">
        <f>IF(F360="","",IFERROR(VLOOKUP(F360,COA!A:B,2,FALSE),"-"))</f>
        <v/>
      </c>
      <c r="H360" s="20"/>
    </row>
    <row r="361">
      <c r="A361" s="43"/>
      <c r="D361" s="17"/>
      <c r="E361" s="17" t="str">
        <f>IF(D361="","",IFERROR(VLOOKUP(D361,COA!A:B,2,FALSE),"-"))</f>
        <v/>
      </c>
      <c r="F361" s="17"/>
      <c r="G361" s="17" t="str">
        <f>IF(F361="","",IFERROR(VLOOKUP(F361,COA!A:B,2,FALSE),"-"))</f>
        <v/>
      </c>
      <c r="H361" s="20"/>
    </row>
    <row r="362">
      <c r="A362" s="43"/>
      <c r="D362" s="17"/>
      <c r="E362" s="17" t="str">
        <f>IF(D362="","",IFERROR(VLOOKUP(D362,COA!A:B,2,FALSE),"-"))</f>
        <v/>
      </c>
      <c r="F362" s="17"/>
      <c r="G362" s="17" t="str">
        <f>IF(F362="","",IFERROR(VLOOKUP(F362,COA!A:B,2,FALSE),"-"))</f>
        <v/>
      </c>
      <c r="H362" s="20"/>
    </row>
    <row r="363">
      <c r="A363" s="43"/>
      <c r="D363" s="17"/>
      <c r="E363" s="17" t="str">
        <f>IF(D363="","",IFERROR(VLOOKUP(D363,COA!A:B,2,FALSE),"-"))</f>
        <v/>
      </c>
      <c r="F363" s="17"/>
      <c r="G363" s="17" t="str">
        <f>IF(F363="","",IFERROR(VLOOKUP(F363,COA!A:B,2,FALSE),"-"))</f>
        <v/>
      </c>
      <c r="H363" s="20"/>
    </row>
    <row r="364">
      <c r="A364" s="43"/>
      <c r="D364" s="17"/>
      <c r="E364" s="17" t="str">
        <f>IF(D364="","",IFERROR(VLOOKUP(D364,COA!A:B,2,FALSE),"-"))</f>
        <v/>
      </c>
      <c r="F364" s="17"/>
      <c r="G364" s="17" t="str">
        <f>IF(F364="","",IFERROR(VLOOKUP(F364,COA!A:B,2,FALSE),"-"))</f>
        <v/>
      </c>
      <c r="H364" s="20"/>
    </row>
    <row r="365">
      <c r="A365" s="43"/>
      <c r="D365" s="17"/>
      <c r="E365" s="17" t="str">
        <f>IF(D365="","",IFERROR(VLOOKUP(D365,COA!A:B,2,FALSE),"-"))</f>
        <v/>
      </c>
      <c r="F365" s="17"/>
      <c r="G365" s="17" t="str">
        <f>IF(F365="","",IFERROR(VLOOKUP(F365,COA!A:B,2,FALSE),"-"))</f>
        <v/>
      </c>
      <c r="H365" s="20"/>
    </row>
    <row r="366">
      <c r="A366" s="43"/>
      <c r="D366" s="17"/>
      <c r="E366" s="17" t="str">
        <f>IF(D366="","",IFERROR(VLOOKUP(D366,COA!A:B,2,FALSE),"-"))</f>
        <v/>
      </c>
      <c r="F366" s="17"/>
      <c r="G366" s="17" t="str">
        <f>IF(F366="","",IFERROR(VLOOKUP(F366,COA!A:B,2,FALSE),"-"))</f>
        <v/>
      </c>
      <c r="H366" s="20"/>
    </row>
    <row r="367">
      <c r="A367" s="43"/>
      <c r="D367" s="17"/>
      <c r="E367" s="17" t="str">
        <f>IF(D367="","",IFERROR(VLOOKUP(D367,COA!A:B,2,FALSE),"-"))</f>
        <v/>
      </c>
      <c r="F367" s="17"/>
      <c r="G367" s="17" t="str">
        <f>IF(F367="","",IFERROR(VLOOKUP(F367,COA!A:B,2,FALSE),"-"))</f>
        <v/>
      </c>
      <c r="H367" s="20"/>
    </row>
    <row r="368">
      <c r="A368" s="43"/>
      <c r="D368" s="17"/>
      <c r="E368" s="17" t="str">
        <f>IF(D368="","",IFERROR(VLOOKUP(D368,COA!A:B,2,FALSE),"-"))</f>
        <v/>
      </c>
      <c r="F368" s="17"/>
      <c r="G368" s="17" t="str">
        <f>IF(F368="","",IFERROR(VLOOKUP(F368,COA!A:B,2,FALSE),"-"))</f>
        <v/>
      </c>
      <c r="H368" s="20"/>
    </row>
    <row r="369">
      <c r="A369" s="43"/>
      <c r="D369" s="17"/>
      <c r="E369" s="17" t="str">
        <f>IF(D369="","",IFERROR(VLOOKUP(D369,COA!A:B,2,FALSE),"-"))</f>
        <v/>
      </c>
      <c r="F369" s="17"/>
      <c r="G369" s="17" t="str">
        <f>IF(F369="","",IFERROR(VLOOKUP(F369,COA!A:B,2,FALSE),"-"))</f>
        <v/>
      </c>
      <c r="H369" s="20"/>
    </row>
    <row r="370">
      <c r="A370" s="43"/>
      <c r="D370" s="17"/>
      <c r="E370" s="17" t="str">
        <f>IF(D370="","",IFERROR(VLOOKUP(D370,COA!A:B,2,FALSE),"-"))</f>
        <v/>
      </c>
      <c r="F370" s="17"/>
      <c r="G370" s="17" t="str">
        <f>IF(F370="","",IFERROR(VLOOKUP(F370,COA!A:B,2,FALSE),"-"))</f>
        <v/>
      </c>
      <c r="H370" s="20"/>
    </row>
    <row r="371">
      <c r="A371" s="43"/>
      <c r="D371" s="17"/>
      <c r="E371" s="17" t="str">
        <f>IF(D371="","",IFERROR(VLOOKUP(D371,COA!A:B,2,FALSE),"-"))</f>
        <v/>
      </c>
      <c r="F371" s="17"/>
      <c r="G371" s="17" t="str">
        <f>IF(F371="","",IFERROR(VLOOKUP(F371,COA!A:B,2,FALSE),"-"))</f>
        <v/>
      </c>
      <c r="H371" s="20"/>
    </row>
    <row r="372">
      <c r="A372" s="43"/>
      <c r="D372" s="17"/>
      <c r="E372" s="17" t="str">
        <f>IF(D372="","",IFERROR(VLOOKUP(D372,COA!A:B,2,FALSE),"-"))</f>
        <v/>
      </c>
      <c r="F372" s="17"/>
      <c r="G372" s="17" t="str">
        <f>IF(F372="","",IFERROR(VLOOKUP(F372,COA!A:B,2,FALSE),"-"))</f>
        <v/>
      </c>
      <c r="H372" s="20"/>
    </row>
    <row r="373">
      <c r="A373" s="43"/>
      <c r="D373" s="17"/>
      <c r="E373" s="17" t="str">
        <f>IF(D373="","",IFERROR(VLOOKUP(D373,COA!A:B,2,FALSE),"-"))</f>
        <v/>
      </c>
      <c r="F373" s="17"/>
      <c r="G373" s="17" t="str">
        <f>IF(F373="","",IFERROR(VLOOKUP(F373,COA!A:B,2,FALSE),"-"))</f>
        <v/>
      </c>
      <c r="H373" s="20"/>
    </row>
    <row r="374">
      <c r="A374" s="43"/>
      <c r="D374" s="17"/>
      <c r="E374" s="17" t="str">
        <f>IF(D374="","",IFERROR(VLOOKUP(D374,COA!A:B,2,FALSE),"-"))</f>
        <v/>
      </c>
      <c r="F374" s="17"/>
      <c r="G374" s="17" t="str">
        <f>IF(F374="","",IFERROR(VLOOKUP(F374,COA!A:B,2,FALSE),"-"))</f>
        <v/>
      </c>
      <c r="H374" s="20"/>
    </row>
    <row r="375">
      <c r="A375" s="43"/>
      <c r="D375" s="17"/>
      <c r="E375" s="17" t="str">
        <f>IF(D375="","",IFERROR(VLOOKUP(D375,COA!A:B,2,FALSE),"-"))</f>
        <v/>
      </c>
      <c r="F375" s="17"/>
      <c r="G375" s="17" t="str">
        <f>IF(F375="","",IFERROR(VLOOKUP(F375,COA!A:B,2,FALSE),"-"))</f>
        <v/>
      </c>
      <c r="H375" s="20"/>
    </row>
    <row r="376">
      <c r="A376" s="43"/>
      <c r="D376" s="17"/>
      <c r="E376" s="17" t="str">
        <f>IF(D376="","",IFERROR(VLOOKUP(D376,COA!A:B,2,FALSE),"-"))</f>
        <v/>
      </c>
      <c r="F376" s="17"/>
      <c r="G376" s="17" t="str">
        <f>IF(F376="","",IFERROR(VLOOKUP(F376,COA!A:B,2,FALSE),"-"))</f>
        <v/>
      </c>
      <c r="H376" s="20"/>
    </row>
    <row r="377">
      <c r="A377" s="43"/>
      <c r="D377" s="17"/>
      <c r="E377" s="17" t="str">
        <f>IF(D377="","",IFERROR(VLOOKUP(D377,COA!A:B,2,FALSE),"-"))</f>
        <v/>
      </c>
      <c r="F377" s="17"/>
      <c r="G377" s="17" t="str">
        <f>IF(F377="","",IFERROR(VLOOKUP(F377,COA!A:B,2,FALSE),"-"))</f>
        <v/>
      </c>
      <c r="H377" s="20"/>
    </row>
    <row r="378">
      <c r="A378" s="43"/>
      <c r="D378" s="17"/>
      <c r="E378" s="17" t="str">
        <f>IF(D378="","",IFERROR(VLOOKUP(D378,COA!A:B,2,FALSE),"-"))</f>
        <v/>
      </c>
      <c r="F378" s="17"/>
      <c r="G378" s="17" t="str">
        <f>IF(F378="","",IFERROR(VLOOKUP(F378,COA!A:B,2,FALSE),"-"))</f>
        <v/>
      </c>
      <c r="H378" s="20"/>
    </row>
    <row r="379">
      <c r="A379" s="43"/>
      <c r="D379" s="17"/>
      <c r="E379" s="17" t="str">
        <f>IF(D379="","",IFERROR(VLOOKUP(D379,COA!A:B,2,FALSE),"-"))</f>
        <v/>
      </c>
      <c r="F379" s="17"/>
      <c r="G379" s="17" t="str">
        <f>IF(F379="","",IFERROR(VLOOKUP(F379,COA!A:B,2,FALSE),"-"))</f>
        <v/>
      </c>
      <c r="H379" s="20"/>
    </row>
    <row r="380">
      <c r="A380" s="43"/>
      <c r="D380" s="17"/>
      <c r="E380" s="17" t="str">
        <f>IF(D380="","",IFERROR(VLOOKUP(D380,COA!A:B,2,FALSE),"-"))</f>
        <v/>
      </c>
      <c r="F380" s="17"/>
      <c r="G380" s="17" t="str">
        <f>IF(F380="","",IFERROR(VLOOKUP(F380,COA!A:B,2,FALSE),"-"))</f>
        <v/>
      </c>
      <c r="H380" s="20"/>
    </row>
    <row r="381">
      <c r="A381" s="43"/>
      <c r="D381" s="17"/>
      <c r="E381" s="17" t="str">
        <f>IF(D381="","",IFERROR(VLOOKUP(D381,COA!A:B,2,FALSE),"-"))</f>
        <v/>
      </c>
      <c r="F381" s="17"/>
      <c r="G381" s="17" t="str">
        <f>IF(F381="","",IFERROR(VLOOKUP(F381,COA!A:B,2,FALSE),"-"))</f>
        <v/>
      </c>
      <c r="H381" s="20"/>
    </row>
    <row r="382">
      <c r="A382" s="43"/>
      <c r="D382" s="17"/>
      <c r="E382" s="17" t="str">
        <f>IF(D382="","",IFERROR(VLOOKUP(D382,COA!A:B,2,FALSE),"-"))</f>
        <v/>
      </c>
      <c r="F382" s="17"/>
      <c r="G382" s="17" t="str">
        <f>IF(F382="","",IFERROR(VLOOKUP(F382,COA!A:B,2,FALSE),"-"))</f>
        <v/>
      </c>
      <c r="H382" s="20"/>
    </row>
    <row r="383">
      <c r="A383" s="43"/>
      <c r="D383" s="17"/>
      <c r="E383" s="17" t="str">
        <f>IF(D383="","",IFERROR(VLOOKUP(D383,COA!A:B,2,FALSE),"-"))</f>
        <v/>
      </c>
      <c r="F383" s="17"/>
      <c r="G383" s="17" t="str">
        <f>IF(F383="","",IFERROR(VLOOKUP(F383,COA!A:B,2,FALSE),"-"))</f>
        <v/>
      </c>
      <c r="H383" s="20"/>
    </row>
    <row r="384">
      <c r="A384" s="43"/>
      <c r="D384" s="17"/>
      <c r="E384" s="17" t="str">
        <f>IF(D384="","",IFERROR(VLOOKUP(D384,COA!A:B,2,FALSE),"-"))</f>
        <v/>
      </c>
      <c r="F384" s="17"/>
      <c r="G384" s="17" t="str">
        <f>IF(F384="","",IFERROR(VLOOKUP(F384,COA!A:B,2,FALSE),"-"))</f>
        <v/>
      </c>
      <c r="H384" s="20"/>
    </row>
    <row r="385">
      <c r="A385" s="43"/>
      <c r="D385" s="17"/>
      <c r="E385" s="17" t="str">
        <f>IF(D385="","",IFERROR(VLOOKUP(D385,COA!A:B,2,FALSE),"-"))</f>
        <v/>
      </c>
      <c r="F385" s="17"/>
      <c r="G385" s="17" t="str">
        <f>IF(F385="","",IFERROR(VLOOKUP(F385,COA!A:B,2,FALSE),"-"))</f>
        <v/>
      </c>
      <c r="H385" s="20"/>
    </row>
    <row r="386">
      <c r="A386" s="43"/>
      <c r="D386" s="17"/>
      <c r="E386" s="17" t="str">
        <f>IF(D386="","",IFERROR(VLOOKUP(D386,COA!A:B,2,FALSE),"-"))</f>
        <v/>
      </c>
      <c r="F386" s="17"/>
      <c r="G386" s="17" t="str">
        <f>IF(F386="","",IFERROR(VLOOKUP(F386,COA!A:B,2,FALSE),"-"))</f>
        <v/>
      </c>
      <c r="H386" s="20"/>
    </row>
    <row r="387">
      <c r="A387" s="43"/>
      <c r="D387" s="17"/>
      <c r="E387" s="17" t="str">
        <f>IF(D387="","",IFERROR(VLOOKUP(D387,COA!A:B,2,FALSE),"-"))</f>
        <v/>
      </c>
      <c r="F387" s="17"/>
      <c r="G387" s="17" t="str">
        <f>IF(F387="","",IFERROR(VLOOKUP(F387,COA!A:B,2,FALSE),"-"))</f>
        <v/>
      </c>
      <c r="H387" s="20"/>
    </row>
    <row r="388">
      <c r="A388" s="43"/>
      <c r="D388" s="17"/>
      <c r="E388" s="17" t="str">
        <f>IF(D388="","",IFERROR(VLOOKUP(D388,COA!A:B,2,FALSE),"-"))</f>
        <v/>
      </c>
      <c r="F388" s="17"/>
      <c r="G388" s="17" t="str">
        <f>IF(F388="","",IFERROR(VLOOKUP(F388,COA!A:B,2,FALSE),"-"))</f>
        <v/>
      </c>
      <c r="H388" s="20"/>
    </row>
    <row r="389">
      <c r="A389" s="43"/>
      <c r="D389" s="17"/>
      <c r="E389" s="17" t="str">
        <f>IF(D389="","",IFERROR(VLOOKUP(D389,COA!A:B,2,FALSE),"-"))</f>
        <v/>
      </c>
      <c r="F389" s="17"/>
      <c r="G389" s="17" t="str">
        <f>IF(F389="","",IFERROR(VLOOKUP(F389,COA!A:B,2,FALSE),"-"))</f>
        <v/>
      </c>
      <c r="H389" s="20"/>
    </row>
    <row r="390">
      <c r="A390" s="43"/>
      <c r="D390" s="17"/>
      <c r="E390" s="17" t="str">
        <f>IF(D390="","",IFERROR(VLOOKUP(D390,COA!A:B,2,FALSE),"-"))</f>
        <v/>
      </c>
      <c r="F390" s="17"/>
      <c r="G390" s="17" t="str">
        <f>IF(F390="","",IFERROR(VLOOKUP(F390,COA!A:B,2,FALSE),"-"))</f>
        <v/>
      </c>
      <c r="H390" s="20"/>
    </row>
    <row r="391">
      <c r="A391" s="43"/>
      <c r="D391" s="17"/>
      <c r="E391" s="17" t="str">
        <f>IF(D391="","",IFERROR(VLOOKUP(D391,COA!A:B,2,FALSE),"-"))</f>
        <v/>
      </c>
      <c r="F391" s="17"/>
      <c r="G391" s="17" t="str">
        <f>IF(F391="","",IFERROR(VLOOKUP(F391,COA!A:B,2,FALSE),"-"))</f>
        <v/>
      </c>
      <c r="H391" s="20"/>
    </row>
    <row r="392">
      <c r="A392" s="43"/>
      <c r="D392" s="17"/>
      <c r="E392" s="17" t="str">
        <f>IF(D392="","",IFERROR(VLOOKUP(D392,COA!A:B,2,FALSE),"-"))</f>
        <v/>
      </c>
      <c r="F392" s="17"/>
      <c r="G392" s="17" t="str">
        <f>IF(F392="","",IFERROR(VLOOKUP(F392,COA!A:B,2,FALSE),"-"))</f>
        <v/>
      </c>
      <c r="H392" s="20"/>
    </row>
    <row r="393">
      <c r="A393" s="43"/>
      <c r="D393" s="17"/>
      <c r="E393" s="17" t="str">
        <f>IF(D393="","",IFERROR(VLOOKUP(D393,COA!A:B,2,FALSE),"-"))</f>
        <v/>
      </c>
      <c r="F393" s="17"/>
      <c r="G393" s="17" t="str">
        <f>IF(F393="","",IFERROR(VLOOKUP(F393,COA!A:B,2,FALSE),"-"))</f>
        <v/>
      </c>
      <c r="H393" s="20"/>
    </row>
    <row r="394">
      <c r="A394" s="43"/>
      <c r="D394" s="17"/>
      <c r="E394" s="17" t="str">
        <f>IF(D394="","",IFERROR(VLOOKUP(D394,COA!A:B,2,FALSE),"-"))</f>
        <v/>
      </c>
      <c r="F394" s="17"/>
      <c r="G394" s="17" t="str">
        <f>IF(F394="","",IFERROR(VLOOKUP(F394,COA!A:B,2,FALSE),"-"))</f>
        <v/>
      </c>
      <c r="H394" s="20"/>
    </row>
    <row r="395">
      <c r="A395" s="43"/>
      <c r="D395" s="17"/>
      <c r="E395" s="17" t="str">
        <f>IF(D395="","",IFERROR(VLOOKUP(D395,COA!A:B,2,FALSE),"-"))</f>
        <v/>
      </c>
      <c r="F395" s="17"/>
      <c r="G395" s="17" t="str">
        <f>IF(F395="","",IFERROR(VLOOKUP(F395,COA!A:B,2,FALSE),"-"))</f>
        <v/>
      </c>
      <c r="H395" s="20"/>
    </row>
    <row r="396">
      <c r="A396" s="43"/>
      <c r="D396" s="17"/>
      <c r="E396" s="17" t="str">
        <f>IF(D396="","",IFERROR(VLOOKUP(D396,COA!A:B,2,FALSE),"-"))</f>
        <v/>
      </c>
      <c r="F396" s="17"/>
      <c r="G396" s="17" t="str">
        <f>IF(F396="","",IFERROR(VLOOKUP(F396,COA!A:B,2,FALSE),"-"))</f>
        <v/>
      </c>
      <c r="H396" s="20"/>
    </row>
    <row r="397">
      <c r="A397" s="43"/>
      <c r="D397" s="17"/>
      <c r="E397" s="17" t="str">
        <f>IF(D397="","",IFERROR(VLOOKUP(D397,COA!A:B,2,FALSE),"-"))</f>
        <v/>
      </c>
      <c r="F397" s="17"/>
      <c r="G397" s="17" t="str">
        <f>IF(F397="","",IFERROR(VLOOKUP(F397,COA!A:B,2,FALSE),"-"))</f>
        <v/>
      </c>
      <c r="H397" s="20"/>
    </row>
    <row r="398">
      <c r="A398" s="43"/>
      <c r="D398" s="17"/>
      <c r="E398" s="17" t="str">
        <f>IF(D398="","",IFERROR(VLOOKUP(D398,COA!A:B,2,FALSE),"-"))</f>
        <v/>
      </c>
      <c r="F398" s="17"/>
      <c r="G398" s="17" t="str">
        <f>IF(F398="","",IFERROR(VLOOKUP(F398,COA!A:B,2,FALSE),"-"))</f>
        <v/>
      </c>
      <c r="H398" s="20"/>
    </row>
    <row r="399">
      <c r="A399" s="43"/>
      <c r="D399" s="17"/>
      <c r="E399" s="17" t="str">
        <f>IF(D399="","",IFERROR(VLOOKUP(D399,COA!A:B,2,FALSE),"-"))</f>
        <v/>
      </c>
      <c r="F399" s="17"/>
      <c r="G399" s="17" t="str">
        <f>IF(F399="","",IFERROR(VLOOKUP(F399,COA!A:B,2,FALSE),"-"))</f>
        <v/>
      </c>
      <c r="H399" s="20"/>
    </row>
    <row r="400">
      <c r="A400" s="43"/>
      <c r="D400" s="17"/>
      <c r="E400" s="17" t="str">
        <f>IF(D400="","",IFERROR(VLOOKUP(D400,COA!A:B,2,FALSE),"-"))</f>
        <v/>
      </c>
      <c r="F400" s="17"/>
      <c r="G400" s="17" t="str">
        <f>IF(F400="","",IFERROR(VLOOKUP(F400,COA!A:B,2,FALSE),"-"))</f>
        <v/>
      </c>
      <c r="H400" s="20"/>
    </row>
    <row r="401">
      <c r="A401" s="43"/>
      <c r="D401" s="17"/>
      <c r="E401" s="17" t="str">
        <f>IF(D401="","",IFERROR(VLOOKUP(D401,COA!A:B,2,FALSE),"-"))</f>
        <v/>
      </c>
      <c r="F401" s="17"/>
      <c r="G401" s="17" t="str">
        <f>IF(F401="","",IFERROR(VLOOKUP(F401,COA!A:B,2,FALSE),"-"))</f>
        <v/>
      </c>
      <c r="H401" s="20"/>
    </row>
    <row r="402">
      <c r="A402" s="43"/>
      <c r="D402" s="17"/>
      <c r="E402" s="17" t="str">
        <f>IF(D402="","",IFERROR(VLOOKUP(D402,COA!A:B,2,FALSE),"-"))</f>
        <v/>
      </c>
      <c r="F402" s="17"/>
      <c r="G402" s="17" t="str">
        <f>IF(F402="","",IFERROR(VLOOKUP(F402,COA!A:B,2,FALSE),"-"))</f>
        <v/>
      </c>
      <c r="H402" s="20"/>
    </row>
    <row r="403">
      <c r="A403" s="43"/>
      <c r="D403" s="17"/>
      <c r="E403" s="17" t="str">
        <f>IF(D403="","",IFERROR(VLOOKUP(D403,COA!A:B,2,FALSE),"-"))</f>
        <v/>
      </c>
      <c r="F403" s="17"/>
      <c r="G403" s="17" t="str">
        <f>IF(F403="","",IFERROR(VLOOKUP(F403,COA!A:B,2,FALSE),"-"))</f>
        <v/>
      </c>
      <c r="H403" s="20"/>
    </row>
    <row r="404">
      <c r="A404" s="43"/>
      <c r="D404" s="17"/>
      <c r="E404" s="17" t="str">
        <f>IF(D404="","",IFERROR(VLOOKUP(D404,COA!A:B,2,FALSE),"-"))</f>
        <v/>
      </c>
      <c r="F404" s="17"/>
      <c r="G404" s="17" t="str">
        <f>IF(F404="","",IFERROR(VLOOKUP(F404,COA!A:B,2,FALSE),"-"))</f>
        <v/>
      </c>
      <c r="H404" s="20"/>
    </row>
    <row r="405">
      <c r="A405" s="43"/>
      <c r="D405" s="17"/>
      <c r="E405" s="17" t="str">
        <f>IF(D405="","",IFERROR(VLOOKUP(D405,COA!A:B,2,FALSE),"-"))</f>
        <v/>
      </c>
      <c r="F405" s="17"/>
      <c r="G405" s="17" t="str">
        <f>IF(F405="","",IFERROR(VLOOKUP(F405,COA!A:B,2,FALSE),"-"))</f>
        <v/>
      </c>
      <c r="H405" s="20"/>
    </row>
    <row r="406">
      <c r="A406" s="43"/>
      <c r="D406" s="17"/>
      <c r="E406" s="17" t="str">
        <f>IF(D406="","",IFERROR(VLOOKUP(D406,COA!A:B,2,FALSE),"-"))</f>
        <v/>
      </c>
      <c r="F406" s="17"/>
      <c r="G406" s="17" t="str">
        <f>IF(F406="","",IFERROR(VLOOKUP(F406,COA!A:B,2,FALSE),"-"))</f>
        <v/>
      </c>
      <c r="H406" s="20"/>
    </row>
    <row r="407">
      <c r="A407" s="43"/>
      <c r="D407" s="17"/>
      <c r="E407" s="17" t="str">
        <f>IF(D407="","",IFERROR(VLOOKUP(D407,COA!A:B,2,FALSE),"-"))</f>
        <v/>
      </c>
      <c r="F407" s="17"/>
      <c r="G407" s="17" t="str">
        <f>IF(F407="","",IFERROR(VLOOKUP(F407,COA!A:B,2,FALSE),"-"))</f>
        <v/>
      </c>
      <c r="H407" s="20"/>
    </row>
    <row r="408">
      <c r="A408" s="43"/>
      <c r="D408" s="17"/>
      <c r="E408" s="17" t="str">
        <f>IF(D408="","",IFERROR(VLOOKUP(D408,COA!A:B,2,FALSE),"-"))</f>
        <v/>
      </c>
      <c r="F408" s="17"/>
      <c r="G408" s="17" t="str">
        <f>IF(F408="","",IFERROR(VLOOKUP(F408,COA!A:B,2,FALSE),"-"))</f>
        <v/>
      </c>
      <c r="H408" s="20"/>
    </row>
    <row r="409">
      <c r="A409" s="43"/>
      <c r="D409" s="17"/>
      <c r="E409" s="17" t="str">
        <f>IF(D409="","",IFERROR(VLOOKUP(D409,COA!A:B,2,FALSE),"-"))</f>
        <v/>
      </c>
      <c r="F409" s="17"/>
      <c r="G409" s="17" t="str">
        <f>IF(F409="","",IFERROR(VLOOKUP(F409,COA!A:B,2,FALSE),"-"))</f>
        <v/>
      </c>
      <c r="H409" s="20"/>
    </row>
    <row r="410">
      <c r="A410" s="43"/>
      <c r="D410" s="17"/>
      <c r="E410" s="17" t="str">
        <f>IF(D410="","",IFERROR(VLOOKUP(D410,COA!A:B,2,FALSE),"-"))</f>
        <v/>
      </c>
      <c r="F410" s="17"/>
      <c r="G410" s="17" t="str">
        <f>IF(F410="","",IFERROR(VLOOKUP(F410,COA!A:B,2,FALSE),"-"))</f>
        <v/>
      </c>
      <c r="H410" s="20"/>
    </row>
    <row r="411">
      <c r="A411" s="43"/>
      <c r="D411" s="17"/>
      <c r="E411" s="17" t="str">
        <f>IF(D411="","",IFERROR(VLOOKUP(D411,COA!A:B,2,FALSE),"-"))</f>
        <v/>
      </c>
      <c r="F411" s="17"/>
      <c r="G411" s="17" t="str">
        <f>IF(F411="","",IFERROR(VLOOKUP(F411,COA!A:B,2,FALSE),"-"))</f>
        <v/>
      </c>
      <c r="H411" s="20"/>
    </row>
    <row r="412">
      <c r="A412" s="43"/>
      <c r="D412" s="17"/>
      <c r="E412" s="17" t="str">
        <f>IF(D412="","",IFERROR(VLOOKUP(D412,COA!A:B,2,FALSE),"-"))</f>
        <v/>
      </c>
      <c r="F412" s="17"/>
      <c r="G412" s="17" t="str">
        <f>IF(F412="","",IFERROR(VLOOKUP(F412,COA!A:B,2,FALSE),"-"))</f>
        <v/>
      </c>
      <c r="H412" s="20"/>
    </row>
    <row r="413">
      <c r="A413" s="43"/>
      <c r="D413" s="17"/>
      <c r="E413" s="17" t="str">
        <f>IF(D413="","",IFERROR(VLOOKUP(D413,COA!A:B,2,FALSE),"-"))</f>
        <v/>
      </c>
      <c r="F413" s="17"/>
      <c r="G413" s="17" t="str">
        <f>IF(F413="","",IFERROR(VLOOKUP(F413,COA!A:B,2,FALSE),"-"))</f>
        <v/>
      </c>
      <c r="H413" s="20"/>
    </row>
    <row r="414">
      <c r="A414" s="43"/>
      <c r="D414" s="17"/>
      <c r="E414" s="17" t="str">
        <f>IF(D414="","",IFERROR(VLOOKUP(D414,COA!A:B,2,FALSE),"-"))</f>
        <v/>
      </c>
      <c r="F414" s="17"/>
      <c r="G414" s="17" t="str">
        <f>IF(F414="","",IFERROR(VLOOKUP(F414,COA!A:B,2,FALSE),"-"))</f>
        <v/>
      </c>
      <c r="H414" s="20"/>
    </row>
    <row r="415">
      <c r="A415" s="43"/>
      <c r="D415" s="17"/>
      <c r="E415" s="17" t="str">
        <f>IF(D415="","",IFERROR(VLOOKUP(D415,COA!A:B,2,FALSE),"-"))</f>
        <v/>
      </c>
      <c r="F415" s="17"/>
      <c r="G415" s="17" t="str">
        <f>IF(F415="","",IFERROR(VLOOKUP(F415,COA!A:B,2,FALSE),"-"))</f>
        <v/>
      </c>
      <c r="H415" s="20"/>
    </row>
    <row r="416">
      <c r="A416" s="43"/>
      <c r="D416" s="17"/>
      <c r="E416" s="17" t="str">
        <f>IF(D416="","",IFERROR(VLOOKUP(D416,COA!A:B,2,FALSE),"-"))</f>
        <v/>
      </c>
      <c r="F416" s="17"/>
      <c r="G416" s="17" t="str">
        <f>IF(F416="","",IFERROR(VLOOKUP(F416,COA!A:B,2,FALSE),"-"))</f>
        <v/>
      </c>
      <c r="H416" s="20"/>
    </row>
    <row r="417">
      <c r="A417" s="43"/>
      <c r="D417" s="17"/>
      <c r="E417" s="17" t="str">
        <f>IF(D417="","",IFERROR(VLOOKUP(D417,COA!A:B,2,FALSE),"-"))</f>
        <v/>
      </c>
      <c r="F417" s="17"/>
      <c r="G417" s="17" t="str">
        <f>IF(F417="","",IFERROR(VLOOKUP(F417,COA!A:B,2,FALSE),"-"))</f>
        <v/>
      </c>
      <c r="H417" s="20"/>
    </row>
    <row r="418">
      <c r="A418" s="43"/>
      <c r="D418" s="17"/>
      <c r="E418" s="17" t="str">
        <f>IF(D418="","",IFERROR(VLOOKUP(D418,COA!A:B,2,FALSE),"-"))</f>
        <v/>
      </c>
      <c r="F418" s="17"/>
      <c r="G418" s="17" t="str">
        <f>IF(F418="","",IFERROR(VLOOKUP(F418,COA!A:B,2,FALSE),"-"))</f>
        <v/>
      </c>
      <c r="H418" s="20"/>
    </row>
    <row r="419">
      <c r="A419" s="43"/>
      <c r="D419" s="17"/>
      <c r="E419" s="17" t="str">
        <f>IF(D419="","",IFERROR(VLOOKUP(D419,COA!A:B,2,FALSE),"-"))</f>
        <v/>
      </c>
      <c r="F419" s="17"/>
      <c r="G419" s="17" t="str">
        <f>IF(F419="","",IFERROR(VLOOKUP(F419,COA!A:B,2,FALSE),"-"))</f>
        <v/>
      </c>
      <c r="H419" s="20"/>
    </row>
    <row r="420">
      <c r="A420" s="43"/>
      <c r="D420" s="17"/>
      <c r="E420" s="17" t="str">
        <f>IF(D420="","",IFERROR(VLOOKUP(D420,COA!A:B,2,FALSE),"-"))</f>
        <v/>
      </c>
      <c r="F420" s="17"/>
      <c r="G420" s="17" t="str">
        <f>IF(F420="","",IFERROR(VLOOKUP(F420,COA!A:B,2,FALSE),"-"))</f>
        <v/>
      </c>
      <c r="H420" s="20"/>
    </row>
    <row r="421">
      <c r="A421" s="43"/>
      <c r="D421" s="17"/>
      <c r="E421" s="17" t="str">
        <f>IF(D421="","",IFERROR(VLOOKUP(D421,COA!A:B,2,FALSE),"-"))</f>
        <v/>
      </c>
      <c r="F421" s="17"/>
      <c r="G421" s="17" t="str">
        <f>IF(F421="","",IFERROR(VLOOKUP(F421,COA!A:B,2,FALSE),"-"))</f>
        <v/>
      </c>
      <c r="H421" s="20"/>
    </row>
    <row r="422">
      <c r="A422" s="43"/>
      <c r="D422" s="17"/>
      <c r="E422" s="17" t="str">
        <f>IF(D422="","",IFERROR(VLOOKUP(D422,COA!A:B,2,FALSE),"-"))</f>
        <v/>
      </c>
      <c r="F422" s="17"/>
      <c r="G422" s="17" t="str">
        <f>IF(F422="","",IFERROR(VLOOKUP(F422,COA!A:B,2,FALSE),"-"))</f>
        <v/>
      </c>
      <c r="H422" s="20"/>
    </row>
    <row r="423">
      <c r="A423" s="43"/>
      <c r="D423" s="17"/>
      <c r="E423" s="17" t="str">
        <f>IF(D423="","",IFERROR(VLOOKUP(D423,COA!A:B,2,FALSE),"-"))</f>
        <v/>
      </c>
      <c r="F423" s="17"/>
      <c r="G423" s="17" t="str">
        <f>IF(F423="","",IFERROR(VLOOKUP(F423,COA!A:B,2,FALSE),"-"))</f>
        <v/>
      </c>
      <c r="H423" s="20"/>
    </row>
    <row r="424">
      <c r="A424" s="43"/>
      <c r="D424" s="17"/>
      <c r="E424" s="17" t="str">
        <f>IF(D424="","",IFERROR(VLOOKUP(D424,COA!A:B,2,FALSE),"-"))</f>
        <v/>
      </c>
      <c r="F424" s="17"/>
      <c r="G424" s="17" t="str">
        <f>IF(F424="","",IFERROR(VLOOKUP(F424,COA!A:B,2,FALSE),"-"))</f>
        <v/>
      </c>
      <c r="H424" s="20"/>
    </row>
    <row r="425">
      <c r="A425" s="43"/>
      <c r="D425" s="17"/>
      <c r="E425" s="17" t="str">
        <f>IF(D425="","",IFERROR(VLOOKUP(D425,COA!A:B,2,FALSE),"-"))</f>
        <v/>
      </c>
      <c r="F425" s="17"/>
      <c r="G425" s="17" t="str">
        <f>IF(F425="","",IFERROR(VLOOKUP(F425,COA!A:B,2,FALSE),"-"))</f>
        <v/>
      </c>
      <c r="H425" s="20"/>
    </row>
    <row r="426">
      <c r="A426" s="43"/>
      <c r="D426" s="17"/>
      <c r="E426" s="17" t="str">
        <f>IF(D426="","",IFERROR(VLOOKUP(D426,COA!A:B,2,FALSE),"-"))</f>
        <v/>
      </c>
      <c r="F426" s="17"/>
      <c r="G426" s="17" t="str">
        <f>IF(F426="","",IFERROR(VLOOKUP(F426,COA!A:B,2,FALSE),"-"))</f>
        <v/>
      </c>
      <c r="H426" s="20"/>
    </row>
    <row r="427">
      <c r="A427" s="43"/>
      <c r="D427" s="17"/>
      <c r="E427" s="17" t="str">
        <f>IF(D427="","",IFERROR(VLOOKUP(D427,COA!A:B,2,FALSE),"-"))</f>
        <v/>
      </c>
      <c r="F427" s="17"/>
      <c r="G427" s="17" t="str">
        <f>IF(F427="","",IFERROR(VLOOKUP(F427,COA!A:B,2,FALSE),"-"))</f>
        <v/>
      </c>
      <c r="H427" s="20"/>
    </row>
    <row r="428">
      <c r="A428" s="43"/>
      <c r="D428" s="17"/>
      <c r="E428" s="17" t="str">
        <f>IF(D428="","",IFERROR(VLOOKUP(D428,COA!A:B,2,FALSE),"-"))</f>
        <v/>
      </c>
      <c r="F428" s="17"/>
      <c r="G428" s="17" t="str">
        <f>IF(F428="","",IFERROR(VLOOKUP(F428,COA!A:B,2,FALSE),"-"))</f>
        <v/>
      </c>
      <c r="H428" s="20"/>
    </row>
    <row r="429">
      <c r="A429" s="43"/>
      <c r="D429" s="17"/>
      <c r="E429" s="17" t="str">
        <f>IF(D429="","",IFERROR(VLOOKUP(D429,COA!A:B,2,FALSE),"-"))</f>
        <v/>
      </c>
      <c r="F429" s="17"/>
      <c r="G429" s="17" t="str">
        <f>IF(F429="","",IFERROR(VLOOKUP(F429,COA!A:B,2,FALSE),"-"))</f>
        <v/>
      </c>
      <c r="H429" s="20"/>
    </row>
    <row r="430">
      <c r="A430" s="43"/>
      <c r="D430" s="17"/>
      <c r="E430" s="17" t="str">
        <f>IF(D430="","",IFERROR(VLOOKUP(D430,COA!A:B,2,FALSE),"-"))</f>
        <v/>
      </c>
      <c r="F430" s="17"/>
      <c r="G430" s="17" t="str">
        <f>IF(F430="","",IFERROR(VLOOKUP(F430,COA!A:B,2,FALSE),"-"))</f>
        <v/>
      </c>
      <c r="H430" s="20"/>
    </row>
    <row r="431">
      <c r="A431" s="43"/>
      <c r="D431" s="17"/>
      <c r="E431" s="17" t="str">
        <f>IF(D431="","",IFERROR(VLOOKUP(D431,COA!A:B,2,FALSE),"-"))</f>
        <v/>
      </c>
      <c r="F431" s="17"/>
      <c r="G431" s="17" t="str">
        <f>IF(F431="","",IFERROR(VLOOKUP(F431,COA!A:B,2,FALSE),"-"))</f>
        <v/>
      </c>
      <c r="H431" s="20"/>
    </row>
    <row r="432">
      <c r="A432" s="43"/>
      <c r="D432" s="17"/>
      <c r="E432" s="17" t="str">
        <f>IF(D432="","",IFERROR(VLOOKUP(D432,COA!A:B,2,FALSE),"-"))</f>
        <v/>
      </c>
      <c r="F432" s="17"/>
      <c r="G432" s="17" t="str">
        <f>IF(F432="","",IFERROR(VLOOKUP(F432,COA!A:B,2,FALSE),"-"))</f>
        <v/>
      </c>
      <c r="H432" s="20"/>
    </row>
    <row r="433">
      <c r="A433" s="43"/>
      <c r="D433" s="17"/>
      <c r="E433" s="17" t="str">
        <f>IF(D433="","",IFERROR(VLOOKUP(D433,COA!A:B,2,FALSE),"-"))</f>
        <v/>
      </c>
      <c r="F433" s="17"/>
      <c r="G433" s="17" t="str">
        <f>IF(F433="","",IFERROR(VLOOKUP(F433,COA!A:B,2,FALSE),"-"))</f>
        <v/>
      </c>
      <c r="H433" s="20"/>
    </row>
    <row r="434">
      <c r="A434" s="43"/>
      <c r="D434" s="17"/>
      <c r="E434" s="17" t="str">
        <f>IF(D434="","",IFERROR(VLOOKUP(D434,COA!A:B,2,FALSE),"-"))</f>
        <v/>
      </c>
      <c r="F434" s="17"/>
      <c r="G434" s="17" t="str">
        <f>IF(F434="","",IFERROR(VLOOKUP(F434,COA!A:B,2,FALSE),"-"))</f>
        <v/>
      </c>
      <c r="H434" s="20"/>
    </row>
    <row r="435">
      <c r="A435" s="43"/>
      <c r="D435" s="17"/>
      <c r="E435" s="17" t="str">
        <f>IF(D435="","",IFERROR(VLOOKUP(D435,COA!A:B,2,FALSE),"-"))</f>
        <v/>
      </c>
      <c r="F435" s="17"/>
      <c r="G435" s="17" t="str">
        <f>IF(F435="","",IFERROR(VLOOKUP(F435,COA!A:B,2,FALSE),"-"))</f>
        <v/>
      </c>
      <c r="H435" s="20"/>
    </row>
    <row r="436">
      <c r="A436" s="43"/>
      <c r="D436" s="17"/>
      <c r="E436" s="17" t="str">
        <f>IF(D436="","",IFERROR(VLOOKUP(D436,COA!A:B,2,FALSE),"-"))</f>
        <v/>
      </c>
      <c r="F436" s="17"/>
      <c r="G436" s="17" t="str">
        <f>IF(F436="","",IFERROR(VLOOKUP(F436,COA!A:B,2,FALSE),"-"))</f>
        <v/>
      </c>
      <c r="H436" s="20"/>
    </row>
    <row r="437">
      <c r="A437" s="43"/>
      <c r="D437" s="17"/>
      <c r="E437" s="17" t="str">
        <f>IF(D437="","",IFERROR(VLOOKUP(D437,COA!A:B,2,FALSE),"-"))</f>
        <v/>
      </c>
      <c r="F437" s="17"/>
      <c r="G437" s="17" t="str">
        <f>IF(F437="","",IFERROR(VLOOKUP(F437,COA!A:B,2,FALSE),"-"))</f>
        <v/>
      </c>
      <c r="H437" s="20"/>
    </row>
    <row r="438">
      <c r="A438" s="43"/>
      <c r="D438" s="17"/>
      <c r="E438" s="17" t="str">
        <f>IF(D438="","",IFERROR(VLOOKUP(D438,COA!A:B,2,FALSE),"-"))</f>
        <v/>
      </c>
      <c r="F438" s="17"/>
      <c r="G438" s="17" t="str">
        <f>IF(F438="","",IFERROR(VLOOKUP(F438,COA!A:B,2,FALSE),"-"))</f>
        <v/>
      </c>
      <c r="H438" s="20"/>
    </row>
    <row r="439">
      <c r="A439" s="43"/>
      <c r="D439" s="17"/>
      <c r="E439" s="17" t="str">
        <f>IF(D439="","",IFERROR(VLOOKUP(D439,COA!A:B,2,FALSE),"-"))</f>
        <v/>
      </c>
      <c r="F439" s="17"/>
      <c r="G439" s="17" t="str">
        <f>IF(F439="","",IFERROR(VLOOKUP(F439,COA!A:B,2,FALSE),"-"))</f>
        <v/>
      </c>
      <c r="H439" s="20"/>
    </row>
    <row r="440">
      <c r="A440" s="43"/>
      <c r="D440" s="17"/>
      <c r="E440" s="17" t="str">
        <f>IF(D440="","",IFERROR(VLOOKUP(D440,COA!A:B,2,FALSE),"-"))</f>
        <v/>
      </c>
      <c r="F440" s="17"/>
      <c r="G440" s="17" t="str">
        <f>IF(F440="","",IFERROR(VLOOKUP(F440,COA!A:B,2,FALSE),"-"))</f>
        <v/>
      </c>
      <c r="H440" s="20"/>
    </row>
    <row r="441">
      <c r="A441" s="43"/>
      <c r="D441" s="17"/>
      <c r="E441" s="17" t="str">
        <f>IF(D441="","",IFERROR(VLOOKUP(D441,COA!A:B,2,FALSE),"-"))</f>
        <v/>
      </c>
      <c r="F441" s="17"/>
      <c r="G441" s="17" t="str">
        <f>IF(F441="","",IFERROR(VLOOKUP(F441,COA!A:B,2,FALSE),"-"))</f>
        <v/>
      </c>
      <c r="H441" s="20"/>
    </row>
    <row r="442">
      <c r="A442" s="43"/>
      <c r="D442" s="17"/>
      <c r="E442" s="17" t="str">
        <f>IF(D442="","",IFERROR(VLOOKUP(D442,COA!A:B,2,FALSE),"-"))</f>
        <v/>
      </c>
      <c r="F442" s="17"/>
      <c r="G442" s="17" t="str">
        <f>IF(F442="","",IFERROR(VLOOKUP(F442,COA!A:B,2,FALSE),"-"))</f>
        <v/>
      </c>
      <c r="H442" s="20"/>
    </row>
    <row r="443">
      <c r="A443" s="43"/>
      <c r="D443" s="17"/>
      <c r="E443" s="17" t="str">
        <f>IF(D443="","",IFERROR(VLOOKUP(D443,COA!A:B,2,FALSE),"-"))</f>
        <v/>
      </c>
      <c r="F443" s="17"/>
      <c r="G443" s="17" t="str">
        <f>IF(F443="","",IFERROR(VLOOKUP(F443,COA!A:B,2,FALSE),"-"))</f>
        <v/>
      </c>
      <c r="H443" s="20"/>
    </row>
    <row r="444">
      <c r="A444" s="43"/>
      <c r="D444" s="17"/>
      <c r="E444" s="17" t="str">
        <f>IF(D444="","",IFERROR(VLOOKUP(D444,COA!A:B,2,FALSE),"-"))</f>
        <v/>
      </c>
      <c r="F444" s="17"/>
      <c r="G444" s="17" t="str">
        <f>IF(F444="","",IFERROR(VLOOKUP(F444,COA!A:B,2,FALSE),"-"))</f>
        <v/>
      </c>
      <c r="H444" s="20"/>
    </row>
    <row r="445">
      <c r="A445" s="43"/>
      <c r="D445" s="17"/>
      <c r="E445" s="17" t="str">
        <f>IF(D445="","",IFERROR(VLOOKUP(D445,COA!A:B,2,FALSE),"-"))</f>
        <v/>
      </c>
      <c r="F445" s="17"/>
      <c r="G445" s="17" t="str">
        <f>IF(F445="","",IFERROR(VLOOKUP(F445,COA!A:B,2,FALSE),"-"))</f>
        <v/>
      </c>
      <c r="H445" s="20"/>
    </row>
    <row r="446">
      <c r="A446" s="43"/>
      <c r="D446" s="17"/>
      <c r="E446" s="17" t="str">
        <f>IF(D446="","",IFERROR(VLOOKUP(D446,COA!A:B,2,FALSE),"-"))</f>
        <v/>
      </c>
      <c r="F446" s="17"/>
      <c r="G446" s="17" t="str">
        <f>IF(F446="","",IFERROR(VLOOKUP(F446,COA!A:B,2,FALSE),"-"))</f>
        <v/>
      </c>
      <c r="H446" s="20"/>
    </row>
    <row r="447">
      <c r="A447" s="43"/>
      <c r="D447" s="17"/>
      <c r="E447" s="17" t="str">
        <f>IF(D447="","",IFERROR(VLOOKUP(D447,COA!A:B,2,FALSE),"-"))</f>
        <v/>
      </c>
      <c r="F447" s="17"/>
      <c r="G447" s="17" t="str">
        <f>IF(F447="","",IFERROR(VLOOKUP(F447,COA!A:B,2,FALSE),"-"))</f>
        <v/>
      </c>
      <c r="H447" s="20"/>
    </row>
    <row r="448">
      <c r="A448" s="43"/>
      <c r="D448" s="17"/>
      <c r="E448" s="17" t="str">
        <f>IF(D448="","",IFERROR(VLOOKUP(D448,COA!A:B,2,FALSE),"-"))</f>
        <v/>
      </c>
      <c r="F448" s="17"/>
      <c r="G448" s="17" t="str">
        <f>IF(F448="","",IFERROR(VLOOKUP(F448,COA!A:B,2,FALSE),"-"))</f>
        <v/>
      </c>
      <c r="H448" s="20"/>
    </row>
    <row r="449">
      <c r="A449" s="43"/>
      <c r="D449" s="17"/>
      <c r="E449" s="17" t="str">
        <f>IF(D449="","",IFERROR(VLOOKUP(D449,COA!A:B,2,FALSE),"-"))</f>
        <v/>
      </c>
      <c r="F449" s="17"/>
      <c r="G449" s="17" t="str">
        <f>IF(F449="","",IFERROR(VLOOKUP(F449,COA!A:B,2,FALSE),"-"))</f>
        <v/>
      </c>
      <c r="H449" s="20"/>
    </row>
    <row r="450">
      <c r="A450" s="43"/>
      <c r="D450" s="17"/>
      <c r="E450" s="17" t="str">
        <f>IF(D450="","",IFERROR(VLOOKUP(D450,COA!A:B,2,FALSE),"-"))</f>
        <v/>
      </c>
      <c r="F450" s="17"/>
      <c r="G450" s="17" t="str">
        <f>IF(F450="","",IFERROR(VLOOKUP(F450,COA!A:B,2,FALSE),"-"))</f>
        <v/>
      </c>
      <c r="H450" s="20"/>
    </row>
    <row r="451">
      <c r="A451" s="43"/>
      <c r="D451" s="17"/>
      <c r="E451" s="17" t="str">
        <f>IF(D451="","",IFERROR(VLOOKUP(D451,COA!A:B,2,FALSE),"-"))</f>
        <v/>
      </c>
      <c r="F451" s="17"/>
      <c r="G451" s="17" t="str">
        <f>IF(F451="","",IFERROR(VLOOKUP(F451,COA!A:B,2,FALSE),"-"))</f>
        <v/>
      </c>
      <c r="H451" s="20"/>
    </row>
    <row r="452">
      <c r="A452" s="43"/>
      <c r="D452" s="17"/>
      <c r="E452" s="17" t="str">
        <f>IF(D452="","",IFERROR(VLOOKUP(D452,COA!A:B,2,FALSE),"-"))</f>
        <v/>
      </c>
      <c r="F452" s="17"/>
      <c r="G452" s="17" t="str">
        <f>IF(F452="","",IFERROR(VLOOKUP(F452,COA!A:B,2,FALSE),"-"))</f>
        <v/>
      </c>
      <c r="H452" s="20"/>
    </row>
    <row r="453">
      <c r="A453" s="43"/>
      <c r="D453" s="17"/>
      <c r="E453" s="17" t="str">
        <f>IF(D453="","",IFERROR(VLOOKUP(D453,COA!A:B,2,FALSE),"-"))</f>
        <v/>
      </c>
      <c r="F453" s="17"/>
      <c r="G453" s="17" t="str">
        <f>IF(F453="","",IFERROR(VLOOKUP(F453,COA!A:B,2,FALSE),"-"))</f>
        <v/>
      </c>
      <c r="H453" s="20"/>
    </row>
    <row r="454">
      <c r="A454" s="43"/>
      <c r="D454" s="17"/>
      <c r="E454" s="17" t="str">
        <f>IF(D454="","",IFERROR(VLOOKUP(D454,COA!A:B,2,FALSE),"-"))</f>
        <v/>
      </c>
      <c r="F454" s="17"/>
      <c r="G454" s="17" t="str">
        <f>IF(F454="","",IFERROR(VLOOKUP(F454,COA!A:B,2,FALSE),"-"))</f>
        <v/>
      </c>
      <c r="H454" s="20"/>
    </row>
    <row r="455">
      <c r="A455" s="43"/>
      <c r="D455" s="17"/>
      <c r="E455" s="17" t="str">
        <f>IF(D455="","",IFERROR(VLOOKUP(D455,COA!A:B,2,FALSE),"-"))</f>
        <v/>
      </c>
      <c r="F455" s="17"/>
      <c r="G455" s="17" t="str">
        <f>IF(F455="","",IFERROR(VLOOKUP(F455,COA!A:B,2,FALSE),"-"))</f>
        <v/>
      </c>
      <c r="H455" s="20"/>
    </row>
    <row r="456">
      <c r="A456" s="43"/>
      <c r="D456" s="17"/>
      <c r="E456" s="17" t="str">
        <f>IF(D456="","",IFERROR(VLOOKUP(D456,COA!A:B,2,FALSE),"-"))</f>
        <v/>
      </c>
      <c r="F456" s="17"/>
      <c r="G456" s="17" t="str">
        <f>IF(F456="","",IFERROR(VLOOKUP(F456,COA!A:B,2,FALSE),"-"))</f>
        <v/>
      </c>
      <c r="H456" s="20"/>
    </row>
    <row r="457">
      <c r="A457" s="43"/>
      <c r="D457" s="17"/>
      <c r="E457" s="17" t="str">
        <f>IF(D457="","",IFERROR(VLOOKUP(D457,COA!A:B,2,FALSE),"-"))</f>
        <v/>
      </c>
      <c r="F457" s="17"/>
      <c r="G457" s="17" t="str">
        <f>IF(F457="","",IFERROR(VLOOKUP(F457,COA!A:B,2,FALSE),"-"))</f>
        <v/>
      </c>
      <c r="H457" s="20"/>
    </row>
    <row r="458">
      <c r="A458" s="43"/>
      <c r="D458" s="17"/>
      <c r="E458" s="17" t="str">
        <f>IF(D458="","",IFERROR(VLOOKUP(D458,COA!A:B,2,FALSE),"-"))</f>
        <v/>
      </c>
      <c r="F458" s="17"/>
      <c r="G458" s="17" t="str">
        <f>IF(F458="","",IFERROR(VLOOKUP(F458,COA!A:B,2,FALSE),"-"))</f>
        <v/>
      </c>
      <c r="H458" s="20"/>
    </row>
    <row r="459">
      <c r="A459" s="43"/>
      <c r="D459" s="17"/>
      <c r="E459" s="17" t="str">
        <f>IF(D459="","",IFERROR(VLOOKUP(D459,COA!A:B,2,FALSE),"-"))</f>
        <v/>
      </c>
      <c r="F459" s="17"/>
      <c r="G459" s="17" t="str">
        <f>IF(F459="","",IFERROR(VLOOKUP(F459,COA!A:B,2,FALSE),"-"))</f>
        <v/>
      </c>
      <c r="H459" s="20"/>
    </row>
    <row r="460">
      <c r="A460" s="43"/>
      <c r="D460" s="17"/>
      <c r="E460" s="17" t="str">
        <f>IF(D460="","",IFERROR(VLOOKUP(D460,COA!A:B,2,FALSE),"-"))</f>
        <v/>
      </c>
      <c r="F460" s="17"/>
      <c r="G460" s="17" t="str">
        <f>IF(F460="","",IFERROR(VLOOKUP(F460,COA!A:B,2,FALSE),"-"))</f>
        <v/>
      </c>
      <c r="H460" s="20"/>
    </row>
    <row r="461">
      <c r="A461" s="43"/>
      <c r="D461" s="17"/>
      <c r="E461" s="17" t="str">
        <f>IF(D461="","",IFERROR(VLOOKUP(D461,COA!A:B,2,FALSE),"-"))</f>
        <v/>
      </c>
      <c r="F461" s="17"/>
      <c r="G461" s="17" t="str">
        <f>IF(F461="","",IFERROR(VLOOKUP(F461,COA!A:B,2,FALSE),"-"))</f>
        <v/>
      </c>
      <c r="H461" s="20"/>
    </row>
    <row r="462">
      <c r="A462" s="43"/>
      <c r="D462" s="17"/>
      <c r="E462" s="17" t="str">
        <f>IF(D462="","",IFERROR(VLOOKUP(D462,COA!A:B,2,FALSE),"-"))</f>
        <v/>
      </c>
      <c r="F462" s="17"/>
      <c r="G462" s="17" t="str">
        <f>IF(F462="","",IFERROR(VLOOKUP(F462,COA!A:B,2,FALSE),"-"))</f>
        <v/>
      </c>
      <c r="H462" s="20"/>
    </row>
    <row r="463">
      <c r="A463" s="43"/>
      <c r="D463" s="17"/>
      <c r="E463" s="17" t="str">
        <f>IF(D463="","",IFERROR(VLOOKUP(D463,COA!A:B,2,FALSE),"-"))</f>
        <v/>
      </c>
      <c r="F463" s="17"/>
      <c r="G463" s="17" t="str">
        <f>IF(F463="","",IFERROR(VLOOKUP(F463,COA!A:B,2,FALSE),"-"))</f>
        <v/>
      </c>
      <c r="H463" s="20"/>
    </row>
    <row r="464">
      <c r="A464" s="43"/>
      <c r="D464" s="17"/>
      <c r="E464" s="17" t="str">
        <f>IF(D464="","",IFERROR(VLOOKUP(D464,COA!A:B,2,FALSE),"-"))</f>
        <v/>
      </c>
      <c r="F464" s="17"/>
      <c r="G464" s="17" t="str">
        <f>IF(F464="","",IFERROR(VLOOKUP(F464,COA!A:B,2,FALSE),"-"))</f>
        <v/>
      </c>
      <c r="H464" s="20"/>
    </row>
    <row r="465">
      <c r="A465" s="43"/>
      <c r="D465" s="17"/>
      <c r="E465" s="17" t="str">
        <f>IF(D465="","",IFERROR(VLOOKUP(D465,COA!A:B,2,FALSE),"-"))</f>
        <v/>
      </c>
      <c r="F465" s="17"/>
      <c r="G465" s="17" t="str">
        <f>IF(F465="","",IFERROR(VLOOKUP(F465,COA!A:B,2,FALSE),"-"))</f>
        <v/>
      </c>
      <c r="H465" s="20"/>
    </row>
    <row r="466">
      <c r="A466" s="43"/>
      <c r="D466" s="17"/>
      <c r="E466" s="17" t="str">
        <f>IF(D466="","",IFERROR(VLOOKUP(D466,COA!A:B,2,FALSE),"-"))</f>
        <v/>
      </c>
      <c r="F466" s="17"/>
      <c r="G466" s="17" t="str">
        <f>IF(F466="","",IFERROR(VLOOKUP(F466,COA!A:B,2,FALSE),"-"))</f>
        <v/>
      </c>
      <c r="H466" s="20"/>
    </row>
    <row r="467">
      <c r="A467" s="43"/>
      <c r="D467" s="17"/>
      <c r="E467" s="17" t="str">
        <f>IF(D467="","",IFERROR(VLOOKUP(D467,COA!A:B,2,FALSE),"-"))</f>
        <v/>
      </c>
      <c r="F467" s="17"/>
      <c r="G467" s="17" t="str">
        <f>IF(F467="","",IFERROR(VLOOKUP(F467,COA!A:B,2,FALSE),"-"))</f>
        <v/>
      </c>
      <c r="H467" s="20"/>
    </row>
    <row r="468">
      <c r="A468" s="43"/>
      <c r="D468" s="17"/>
      <c r="E468" s="17" t="str">
        <f>IF(D468="","",IFERROR(VLOOKUP(D468,COA!A:B,2,FALSE),"-"))</f>
        <v/>
      </c>
      <c r="F468" s="17"/>
      <c r="G468" s="17" t="str">
        <f>IF(F468="","",IFERROR(VLOOKUP(F468,COA!A:B,2,FALSE),"-"))</f>
        <v/>
      </c>
      <c r="H468" s="20"/>
    </row>
    <row r="469">
      <c r="A469" s="43"/>
      <c r="D469" s="17"/>
      <c r="E469" s="17" t="str">
        <f>IF(D469="","",IFERROR(VLOOKUP(D469,COA!A:B,2,FALSE),"-"))</f>
        <v/>
      </c>
      <c r="F469" s="17"/>
      <c r="G469" s="17" t="str">
        <f>IF(F469="","",IFERROR(VLOOKUP(F469,COA!A:B,2,FALSE),"-"))</f>
        <v/>
      </c>
      <c r="H469" s="20"/>
    </row>
    <row r="470">
      <c r="A470" s="43"/>
      <c r="D470" s="17"/>
      <c r="E470" s="17" t="str">
        <f>IF(D470="","",IFERROR(VLOOKUP(D470,COA!A:B,2,FALSE),"-"))</f>
        <v/>
      </c>
      <c r="F470" s="17"/>
      <c r="G470" s="17" t="str">
        <f>IF(F470="","",IFERROR(VLOOKUP(F470,COA!A:B,2,FALSE),"-"))</f>
        <v/>
      </c>
      <c r="H470" s="20"/>
    </row>
    <row r="471">
      <c r="A471" s="43"/>
      <c r="D471" s="17"/>
      <c r="E471" s="17" t="str">
        <f>IF(D471="","",IFERROR(VLOOKUP(D471,COA!A:B,2,FALSE),"-"))</f>
        <v/>
      </c>
      <c r="F471" s="17"/>
      <c r="G471" s="17" t="str">
        <f>IF(F471="","",IFERROR(VLOOKUP(F471,COA!A:B,2,FALSE),"-"))</f>
        <v/>
      </c>
      <c r="H471" s="20"/>
    </row>
    <row r="472">
      <c r="A472" s="43"/>
      <c r="D472" s="17"/>
      <c r="E472" s="17" t="str">
        <f>IF(D472="","",IFERROR(VLOOKUP(D472,COA!A:B,2,FALSE),"-"))</f>
        <v/>
      </c>
      <c r="F472" s="17"/>
      <c r="G472" s="17" t="str">
        <f>IF(F472="","",IFERROR(VLOOKUP(F472,COA!A:B,2,FALSE),"-"))</f>
        <v/>
      </c>
      <c r="H472" s="20"/>
    </row>
    <row r="473">
      <c r="A473" s="43"/>
      <c r="D473" s="17"/>
      <c r="E473" s="17" t="str">
        <f>IF(D473="","",IFERROR(VLOOKUP(D473,COA!A:B,2,FALSE),"-"))</f>
        <v/>
      </c>
      <c r="F473" s="17"/>
      <c r="G473" s="17" t="str">
        <f>IF(F473="","",IFERROR(VLOOKUP(F473,COA!A:B,2,FALSE),"-"))</f>
        <v/>
      </c>
      <c r="H473" s="20"/>
    </row>
    <row r="474">
      <c r="A474" s="43"/>
      <c r="D474" s="17"/>
      <c r="E474" s="17" t="str">
        <f>IF(D474="","",IFERROR(VLOOKUP(D474,COA!A:B,2,FALSE),"-"))</f>
        <v/>
      </c>
      <c r="F474" s="17"/>
      <c r="G474" s="17" t="str">
        <f>IF(F474="","",IFERROR(VLOOKUP(F474,COA!A:B,2,FALSE),"-"))</f>
        <v/>
      </c>
      <c r="H474" s="20"/>
    </row>
    <row r="475">
      <c r="A475" s="43"/>
      <c r="D475" s="17"/>
      <c r="E475" s="17" t="str">
        <f>IF(D475="","",IFERROR(VLOOKUP(D475,COA!A:B,2,FALSE),"-"))</f>
        <v/>
      </c>
      <c r="F475" s="17"/>
      <c r="G475" s="17" t="str">
        <f>IF(F475="","",IFERROR(VLOOKUP(F475,COA!A:B,2,FALSE),"-"))</f>
        <v/>
      </c>
      <c r="H475" s="20"/>
    </row>
    <row r="476">
      <c r="A476" s="43"/>
      <c r="D476" s="17"/>
      <c r="E476" s="17" t="str">
        <f>IF(D476="","",IFERROR(VLOOKUP(D476,COA!A:B,2,FALSE),"-"))</f>
        <v/>
      </c>
      <c r="F476" s="17"/>
      <c r="G476" s="17" t="str">
        <f>IF(F476="","",IFERROR(VLOOKUP(F476,COA!A:B,2,FALSE),"-"))</f>
        <v/>
      </c>
      <c r="H476" s="20"/>
    </row>
    <row r="477">
      <c r="A477" s="43"/>
      <c r="D477" s="17"/>
      <c r="E477" s="17" t="str">
        <f>IF(D477="","",IFERROR(VLOOKUP(D477,COA!A:B,2,FALSE),"-"))</f>
        <v/>
      </c>
      <c r="F477" s="17"/>
      <c r="G477" s="17" t="str">
        <f>IF(F477="","",IFERROR(VLOOKUP(F477,COA!A:B,2,FALSE),"-"))</f>
        <v/>
      </c>
      <c r="H477" s="20"/>
    </row>
    <row r="478">
      <c r="A478" s="43"/>
      <c r="D478" s="17"/>
      <c r="E478" s="17" t="str">
        <f>IF(D478="","",IFERROR(VLOOKUP(D478,COA!A:B,2,FALSE),"-"))</f>
        <v/>
      </c>
      <c r="F478" s="17"/>
      <c r="G478" s="17" t="str">
        <f>IF(F478="","",IFERROR(VLOOKUP(F478,COA!A:B,2,FALSE),"-"))</f>
        <v/>
      </c>
      <c r="H478" s="20"/>
    </row>
    <row r="479">
      <c r="A479" s="43"/>
      <c r="D479" s="17"/>
      <c r="E479" s="17" t="str">
        <f>IF(D479="","",IFERROR(VLOOKUP(D479,COA!A:B,2,FALSE),"-"))</f>
        <v/>
      </c>
      <c r="F479" s="17"/>
      <c r="G479" s="17" t="str">
        <f>IF(F479="","",IFERROR(VLOOKUP(F479,COA!A:B,2,FALSE),"-"))</f>
        <v/>
      </c>
      <c r="H479" s="20"/>
    </row>
    <row r="480">
      <c r="A480" s="43"/>
      <c r="D480" s="17"/>
      <c r="E480" s="17" t="str">
        <f>IF(D480="","",IFERROR(VLOOKUP(D480,COA!A:B,2,FALSE),"-"))</f>
        <v/>
      </c>
      <c r="F480" s="17"/>
      <c r="G480" s="17" t="str">
        <f>IF(F480="","",IFERROR(VLOOKUP(F480,COA!A:B,2,FALSE),"-"))</f>
        <v/>
      </c>
      <c r="H480" s="20"/>
    </row>
    <row r="481">
      <c r="A481" s="43"/>
      <c r="D481" s="17"/>
      <c r="E481" s="17" t="str">
        <f>IF(D481="","",IFERROR(VLOOKUP(D481,COA!A:B,2,FALSE),"-"))</f>
        <v/>
      </c>
      <c r="F481" s="17"/>
      <c r="G481" s="17" t="str">
        <f>IF(F481="","",IFERROR(VLOOKUP(F481,COA!A:B,2,FALSE),"-"))</f>
        <v/>
      </c>
      <c r="H481" s="20"/>
    </row>
    <row r="482">
      <c r="A482" s="43"/>
      <c r="D482" s="17"/>
      <c r="E482" s="17" t="str">
        <f>IF(D482="","",IFERROR(VLOOKUP(D482,COA!A:B,2,FALSE),"-"))</f>
        <v/>
      </c>
      <c r="F482" s="17"/>
      <c r="G482" s="17" t="str">
        <f>IF(F482="","",IFERROR(VLOOKUP(F482,COA!A:B,2,FALSE),"-"))</f>
        <v/>
      </c>
      <c r="H482" s="20"/>
    </row>
    <row r="483">
      <c r="A483" s="43"/>
      <c r="D483" s="17"/>
      <c r="E483" s="17" t="str">
        <f>IF(D483="","",IFERROR(VLOOKUP(D483,COA!A:B,2,FALSE),"-"))</f>
        <v/>
      </c>
      <c r="F483" s="17"/>
      <c r="G483" s="17" t="str">
        <f>IF(F483="","",IFERROR(VLOOKUP(F483,COA!A:B,2,FALSE),"-"))</f>
        <v/>
      </c>
      <c r="H483" s="20"/>
    </row>
    <row r="484">
      <c r="A484" s="43"/>
      <c r="D484" s="17"/>
      <c r="E484" s="17" t="str">
        <f>IF(D484="","",IFERROR(VLOOKUP(D484,COA!A:B,2,FALSE),"-"))</f>
        <v/>
      </c>
      <c r="F484" s="17"/>
      <c r="G484" s="17" t="str">
        <f>IF(F484="","",IFERROR(VLOOKUP(F484,COA!A:B,2,FALSE),"-"))</f>
        <v/>
      </c>
      <c r="H484" s="20"/>
    </row>
    <row r="485">
      <c r="A485" s="43"/>
      <c r="D485" s="17"/>
      <c r="E485" s="17" t="str">
        <f>IF(D485="","",IFERROR(VLOOKUP(D485,COA!A:B,2,FALSE),"-"))</f>
        <v/>
      </c>
      <c r="F485" s="17"/>
      <c r="G485" s="17" t="str">
        <f>IF(F485="","",IFERROR(VLOOKUP(F485,COA!A:B,2,FALSE),"-"))</f>
        <v/>
      </c>
      <c r="H485" s="20"/>
    </row>
    <row r="486">
      <c r="A486" s="43"/>
      <c r="D486" s="17"/>
      <c r="E486" s="17" t="str">
        <f>IF(D486="","",IFERROR(VLOOKUP(D486,COA!A:B,2,FALSE),"-"))</f>
        <v/>
      </c>
      <c r="F486" s="17"/>
      <c r="G486" s="17" t="str">
        <f>IF(F486="","",IFERROR(VLOOKUP(F486,COA!A:B,2,FALSE),"-"))</f>
        <v/>
      </c>
      <c r="H486" s="20"/>
    </row>
    <row r="487">
      <c r="A487" s="43"/>
      <c r="D487" s="17"/>
      <c r="E487" s="17" t="str">
        <f>IF(D487="","",IFERROR(VLOOKUP(D487,COA!A:B,2,FALSE),"-"))</f>
        <v/>
      </c>
      <c r="F487" s="17"/>
      <c r="G487" s="17" t="str">
        <f>IF(F487="","",IFERROR(VLOOKUP(F487,COA!A:B,2,FALSE),"-"))</f>
        <v/>
      </c>
      <c r="H487" s="20"/>
    </row>
    <row r="488">
      <c r="A488" s="43"/>
      <c r="D488" s="17"/>
      <c r="E488" s="17" t="str">
        <f>IF(D488="","",IFERROR(VLOOKUP(D488,COA!A:B,2,FALSE),"-"))</f>
        <v/>
      </c>
      <c r="F488" s="17"/>
      <c r="G488" s="17" t="str">
        <f>IF(F488="","",IFERROR(VLOOKUP(F488,COA!A:B,2,FALSE),"-"))</f>
        <v/>
      </c>
      <c r="H488" s="20"/>
    </row>
    <row r="489">
      <c r="A489" s="43"/>
      <c r="D489" s="17"/>
      <c r="E489" s="17" t="str">
        <f>IF(D489="","",IFERROR(VLOOKUP(D489,COA!A:B,2,FALSE),"-"))</f>
        <v/>
      </c>
      <c r="F489" s="17"/>
      <c r="G489" s="17" t="str">
        <f>IF(F489="","",IFERROR(VLOOKUP(F489,COA!A:B,2,FALSE),"-"))</f>
        <v/>
      </c>
      <c r="H489" s="20"/>
    </row>
    <row r="490">
      <c r="A490" s="43"/>
      <c r="D490" s="17"/>
      <c r="E490" s="17" t="str">
        <f>IF(D490="","",IFERROR(VLOOKUP(D490,COA!A:B,2,FALSE),"-"))</f>
        <v/>
      </c>
      <c r="F490" s="17"/>
      <c r="G490" s="17" t="str">
        <f>IF(F490="","",IFERROR(VLOOKUP(F490,COA!A:B,2,FALSE),"-"))</f>
        <v/>
      </c>
      <c r="H490" s="20"/>
    </row>
    <row r="491">
      <c r="A491" s="43"/>
      <c r="D491" s="17"/>
      <c r="E491" s="17" t="str">
        <f>IF(D491="","",IFERROR(VLOOKUP(D491,COA!A:B,2,FALSE),"-"))</f>
        <v/>
      </c>
      <c r="F491" s="17"/>
      <c r="G491" s="17" t="str">
        <f>IF(F491="","",IFERROR(VLOOKUP(F491,COA!A:B,2,FALSE),"-"))</f>
        <v/>
      </c>
      <c r="H491" s="20"/>
    </row>
    <row r="492">
      <c r="A492" s="43"/>
      <c r="D492" s="17"/>
      <c r="E492" s="17" t="str">
        <f>IF(D492="","",IFERROR(VLOOKUP(D492,COA!A:B,2,FALSE),"-"))</f>
        <v/>
      </c>
      <c r="F492" s="17"/>
      <c r="G492" s="17" t="str">
        <f>IF(F492="","",IFERROR(VLOOKUP(F492,COA!A:B,2,FALSE),"-"))</f>
        <v/>
      </c>
      <c r="H492" s="20"/>
    </row>
    <row r="493">
      <c r="A493" s="43"/>
      <c r="D493" s="17"/>
      <c r="E493" s="17" t="str">
        <f>IF(D493="","",IFERROR(VLOOKUP(D493,COA!A:B,2,FALSE),"-"))</f>
        <v/>
      </c>
      <c r="F493" s="17"/>
      <c r="G493" s="17" t="str">
        <f>IF(F493="","",IFERROR(VLOOKUP(F493,COA!A:B,2,FALSE),"-"))</f>
        <v/>
      </c>
      <c r="H493" s="20"/>
    </row>
    <row r="494">
      <c r="A494" s="43"/>
      <c r="D494" s="17"/>
      <c r="E494" s="17" t="str">
        <f>IF(D494="","",IFERROR(VLOOKUP(D494,COA!A:B,2,FALSE),"-"))</f>
        <v/>
      </c>
      <c r="F494" s="17"/>
      <c r="G494" s="17" t="str">
        <f>IF(F494="","",IFERROR(VLOOKUP(F494,COA!A:B,2,FALSE),"-"))</f>
        <v/>
      </c>
      <c r="H494" s="20"/>
    </row>
    <row r="495">
      <c r="A495" s="43"/>
      <c r="D495" s="17"/>
      <c r="E495" s="17" t="str">
        <f>IF(D495="","",IFERROR(VLOOKUP(D495,COA!A:B,2,FALSE),"-"))</f>
        <v/>
      </c>
      <c r="F495" s="17"/>
      <c r="G495" s="17" t="str">
        <f>IF(F495="","",IFERROR(VLOOKUP(F495,COA!A:B,2,FALSE),"-"))</f>
        <v/>
      </c>
      <c r="H495" s="20"/>
    </row>
    <row r="496">
      <c r="A496" s="43"/>
      <c r="D496" s="17"/>
      <c r="E496" s="17" t="str">
        <f>IF(D496="","",IFERROR(VLOOKUP(D496,COA!A:B,2,FALSE),"-"))</f>
        <v/>
      </c>
      <c r="F496" s="17"/>
      <c r="G496" s="17" t="str">
        <f>IF(F496="","",IFERROR(VLOOKUP(F496,COA!A:B,2,FALSE),"-"))</f>
        <v/>
      </c>
      <c r="H496" s="20"/>
    </row>
    <row r="497">
      <c r="A497" s="43"/>
      <c r="D497" s="17"/>
      <c r="E497" s="17" t="str">
        <f>IF(D497="","",IFERROR(VLOOKUP(D497,COA!A:B,2,FALSE),"-"))</f>
        <v/>
      </c>
      <c r="F497" s="17"/>
      <c r="G497" s="17" t="str">
        <f>IF(F497="","",IFERROR(VLOOKUP(F497,COA!A:B,2,FALSE),"-"))</f>
        <v/>
      </c>
      <c r="H497" s="20"/>
    </row>
    <row r="498">
      <c r="A498" s="43"/>
      <c r="D498" s="17"/>
      <c r="E498" s="17" t="str">
        <f>IF(D498="","",IFERROR(VLOOKUP(D498,COA!A:B,2,FALSE),"-"))</f>
        <v/>
      </c>
      <c r="F498" s="17"/>
      <c r="G498" s="17" t="str">
        <f>IF(F498="","",IFERROR(VLOOKUP(F498,COA!A:B,2,FALSE),"-"))</f>
        <v/>
      </c>
      <c r="H498" s="20"/>
    </row>
    <row r="499">
      <c r="A499" s="43"/>
      <c r="D499" s="17"/>
      <c r="E499" s="17" t="str">
        <f>IF(D499="","",IFERROR(VLOOKUP(D499,COA!A:B,2,FALSE),"-"))</f>
        <v/>
      </c>
      <c r="F499" s="17"/>
      <c r="G499" s="17" t="str">
        <f>IF(F499="","",IFERROR(VLOOKUP(F499,COA!A:B,2,FALSE),"-"))</f>
        <v/>
      </c>
      <c r="H499" s="20"/>
    </row>
  </sheetData>
  <mergeCells count="2">
    <mergeCell ref="A1:H1"/>
    <mergeCell ref="A2:H2"/>
  </mergeCells>
  <dataValidations>
    <dataValidation type="list" allowBlank="1" sqref="D4:D499 F4:F499">
      <formula1>COA!$A$4:$A$60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5.13"/>
    <col customWidth="1" min="3" max="3" width="35.13"/>
    <col customWidth="1" min="4" max="6" width="16.38"/>
    <col customWidth="1" min="7" max="7" width="13.88"/>
  </cols>
  <sheetData>
    <row r="1" ht="30.0" customHeight="1">
      <c r="A1" s="1" t="s">
        <v>270</v>
      </c>
    </row>
    <row r="2">
      <c r="A2" s="52" t="s">
        <v>271</v>
      </c>
    </row>
    <row r="3">
      <c r="A3" s="2" t="s">
        <v>272</v>
      </c>
      <c r="B3" s="53" t="s">
        <v>161</v>
      </c>
      <c r="C3" s="2" t="s">
        <v>273</v>
      </c>
      <c r="D3" s="54" t="str">
        <f>IFERROR(VLOOKUP(B3,COA!A:B,2,FALSE),"Kode tidak ditemukan")</f>
        <v>Beban Listrik; Air &amp; Internet</v>
      </c>
      <c r="F3" s="55" t="s">
        <v>274</v>
      </c>
      <c r="G3" s="56">
        <v>46053.0</v>
      </c>
      <c r="H3" s="56">
        <v>46387.0</v>
      </c>
    </row>
    <row r="4" ht="24.0" customHeight="1">
      <c r="A4" s="4" t="str">
        <f>IFERROR(__xludf.DUMMYFUNCTION("{
  {""Tanggal"" , ""No Referensi"" , ""Keterangan"" , ""Debet"" , ""Kredit"" , ""Sumber""};
  IFERROR(QUERY({
    QUERY('INPUT Penjualan'!A4:L1000, ""SELECT A, B, L, K, 0, 'Penjualan' WHERE D = '""&amp;B3&amp;""' AND A IS NOT NULL"", 0);
    QUERY('INPUT Penjual"&amp;"an'!A4:L1000, ""SELECT A, B, L, 0, H, 'Penjualan' WHERE F = '""&amp;B3&amp;""' AND A IS NOT NULL"", 0);
    QUERY('INPUT Pembelian &amp; Produksi'!A4:N1000, ""SELECT A, B, E, I, 0, 'Pembelian' WHERE K = '""&amp;B3&amp;""' AND A IS NOT NULL"", 0);
    QUERY('INPUT Pembelian &amp;"&amp;" Produksi'!A4:N1000, ""SELECT A, B, E, 0, I, 'Pembelian' WHERE M = '""&amp;B3&amp;""' AND A IS NOT NULL"", 0);
    QUERY('INPUT Beban &amp; Kas Keluar'!A4:H1000, ""SELECT A, B, E, F, 0, 'Beban' WHERE C = '""&amp;B3&amp;""' AND A IS NOT NULL"", 0);
    QUERY('INPUT Beban &amp; Ka"&amp;"s Keluar'!A4:H1000, ""SELECT A, B, E, 0, F, 'Beban' WHERE G = '""&amp;D3&amp;""' AND A IS NOT NULL"", 0);
    QUERY('INPUT Jurnal Penyesuaian'!A4:H1000, ""SELECT A, B, C, H, 0, 'Penyesuaian' WHERE D = '""&amp;B3&amp;""' AND A IS NOT NULL"", 0);
    QUERY('INPUT Jurnal Pe"&amp;"nyesuaian'!A4:H1000, ""SELECT A, B, C, 0, H, 'Penyesuaian' WHERE F = '""&amp;B3&amp;""' AND A IS NOT NULL"", 0)
  }, ""SELECT Col1, Col2, Col3, Col4, Col5, Col6 WHERE Col1 IS NOT NULL "" &amp; IF(G3&lt;&gt;"""", ""AND Col1 &gt;= date '""&amp;TEXT(G3,""yyyy-mm-dd"")&amp;""' "", """") "&amp;"&amp; IF(H3&lt;&gt;"""", ""AND Col1 &lt;= date '""&amp;TEXT(H3,""yyyy-mm-dd"")&amp;""' "", """") &amp; ""ORDER BY Col1 ASC"", 0), {""Belum ada transaksi"" , """" , """" , """" , """" , """"})
}
"),"Tanggal")</f>
        <v>Tanggal</v>
      </c>
      <c r="B4" s="4" t="str">
        <f>IFERROR(__xludf.DUMMYFUNCTION("""COMPUTED_VALUE"""),"No Referensi")</f>
        <v>No Referensi</v>
      </c>
      <c r="C4" s="4" t="str">
        <f>IFERROR(__xludf.DUMMYFUNCTION("""COMPUTED_VALUE"""),"Keterangan")</f>
        <v>Keterangan</v>
      </c>
      <c r="D4" s="4" t="str">
        <f>IFERROR(__xludf.DUMMYFUNCTION("""COMPUTED_VALUE"""),"Debet")</f>
        <v>Debet</v>
      </c>
      <c r="E4" s="4" t="str">
        <f>IFERROR(__xludf.DUMMYFUNCTION("""COMPUTED_VALUE"""),"Kredit")</f>
        <v>Kredit</v>
      </c>
      <c r="F4" s="4" t="str">
        <f>IFERROR(__xludf.DUMMYFUNCTION("""COMPUTED_VALUE"""),"Sumber")</f>
        <v>Sumber</v>
      </c>
      <c r="G4" s="4" t="str">
        <f t="array" ref="G4:G1000">{"Saldo"; IFERROR(MAP(A5:A1000, SCAN(IFERROR(VLOOKUP(B3, COA!A:G, 7, FALSE), 0), INDEX(N(D5:D1000)-N(E5:E1000),0), LAMBDA(acc, val, acc + val)), LAMBDA(tgl, sal, IF(OR(tgl="", tgl="Belum ada transaksi"), "", sal))), "")}
</f>
        <v>Saldo</v>
      </c>
    </row>
    <row r="5">
      <c r="A5" s="57" t="str">
        <f>IFERROR(__xludf.DUMMYFUNCTION("""COMPUTED_VALUE"""),"Belum ada transaksi")</f>
        <v>Belum ada transaksi</v>
      </c>
      <c r="B5" s="17" t="str">
        <f>IFERROR(__xludf.DUMMYFUNCTION("""COMPUTED_VALUE"""),"")</f>
        <v/>
      </c>
      <c r="C5" s="17" t="str">
        <f>IFERROR(__xludf.DUMMYFUNCTION("""COMPUTED_VALUE"""),"")</f>
        <v/>
      </c>
      <c r="D5" s="58" t="str">
        <f>IFERROR(__xludf.DUMMYFUNCTION("""COMPUTED_VALUE"""),"")</f>
        <v/>
      </c>
      <c r="E5" s="58" t="str">
        <f>IFERROR(__xludf.DUMMYFUNCTION("""COMPUTED_VALUE"""),"")</f>
        <v/>
      </c>
      <c r="F5" s="58" t="str">
        <f>IFERROR(__xludf.DUMMYFUNCTION("""COMPUTED_VALUE"""),"")</f>
        <v/>
      </c>
      <c r="G5" s="59" t="s">
        <v>275</v>
      </c>
    </row>
    <row r="6">
      <c r="A6" s="57"/>
      <c r="D6" s="58"/>
      <c r="E6" s="58"/>
      <c r="F6" s="58"/>
      <c r="G6" s="59" t="s">
        <v>275</v>
      </c>
    </row>
    <row r="7">
      <c r="A7" s="57"/>
      <c r="D7" s="58"/>
      <c r="E7" s="58"/>
      <c r="F7" s="58"/>
      <c r="G7" s="59" t="s">
        <v>275</v>
      </c>
    </row>
    <row r="8">
      <c r="A8" s="57"/>
      <c r="D8" s="58"/>
      <c r="E8" s="58"/>
      <c r="F8" s="58"/>
      <c r="G8" s="59" t="s">
        <v>275</v>
      </c>
    </row>
    <row r="9">
      <c r="A9" s="57"/>
      <c r="D9" s="58"/>
      <c r="E9" s="58"/>
      <c r="F9" s="58"/>
      <c r="G9" s="59" t="s">
        <v>275</v>
      </c>
    </row>
    <row r="10">
      <c r="A10" s="57"/>
      <c r="D10" s="58"/>
      <c r="E10" s="58"/>
      <c r="F10" s="58"/>
      <c r="G10" s="59" t="s">
        <v>275</v>
      </c>
    </row>
    <row r="11">
      <c r="A11" s="57"/>
      <c r="D11" s="58"/>
      <c r="E11" s="58"/>
      <c r="F11" s="58"/>
      <c r="G11" s="59" t="s">
        <v>275</v>
      </c>
    </row>
    <row r="12">
      <c r="A12" s="57"/>
      <c r="D12" s="58"/>
      <c r="E12" s="58"/>
      <c r="F12" s="58"/>
      <c r="G12" s="59" t="s">
        <v>275</v>
      </c>
    </row>
    <row r="13">
      <c r="A13" s="57"/>
      <c r="D13" s="58"/>
      <c r="E13" s="58"/>
      <c r="F13" s="58"/>
      <c r="G13" s="59" t="s">
        <v>275</v>
      </c>
    </row>
    <row r="14">
      <c r="A14" s="57"/>
      <c r="D14" s="58"/>
      <c r="E14" s="58"/>
      <c r="F14" s="58"/>
      <c r="G14" s="59" t="s">
        <v>275</v>
      </c>
    </row>
    <row r="15">
      <c r="A15" s="57"/>
      <c r="D15" s="58"/>
      <c r="E15" s="58"/>
      <c r="F15" s="58"/>
      <c r="G15" s="59" t="s">
        <v>275</v>
      </c>
    </row>
    <row r="16">
      <c r="A16" s="57"/>
      <c r="D16" s="58"/>
      <c r="E16" s="58"/>
      <c r="F16" s="58"/>
      <c r="G16" s="59" t="s">
        <v>275</v>
      </c>
    </row>
    <row r="17">
      <c r="A17" s="57"/>
      <c r="D17" s="58"/>
      <c r="E17" s="58"/>
      <c r="F17" s="58"/>
      <c r="G17" s="59" t="s">
        <v>275</v>
      </c>
    </row>
    <row r="18">
      <c r="A18" s="57"/>
      <c r="D18" s="58"/>
      <c r="E18" s="58"/>
      <c r="F18" s="58"/>
      <c r="G18" s="59" t="s">
        <v>275</v>
      </c>
    </row>
    <row r="19">
      <c r="A19" s="57"/>
      <c r="D19" s="58"/>
      <c r="E19" s="58"/>
      <c r="F19" s="58"/>
      <c r="G19" s="59" t="s">
        <v>275</v>
      </c>
    </row>
    <row r="20">
      <c r="A20" s="57"/>
      <c r="D20" s="58"/>
      <c r="E20" s="58"/>
      <c r="F20" s="58"/>
      <c r="G20" s="59" t="s">
        <v>275</v>
      </c>
    </row>
    <row r="21">
      <c r="A21" s="57"/>
      <c r="D21" s="58"/>
      <c r="E21" s="58"/>
      <c r="F21" s="58"/>
      <c r="G21" s="59" t="s">
        <v>275</v>
      </c>
    </row>
    <row r="22">
      <c r="A22" s="57"/>
      <c r="D22" s="58"/>
      <c r="E22" s="58"/>
      <c r="F22" s="58"/>
      <c r="G22" s="59" t="s">
        <v>275</v>
      </c>
    </row>
    <row r="23">
      <c r="A23" s="57"/>
      <c r="D23" s="58"/>
      <c r="E23" s="58"/>
      <c r="F23" s="58"/>
      <c r="G23" s="59" t="s">
        <v>275</v>
      </c>
    </row>
    <row r="24">
      <c r="A24" s="57"/>
      <c r="D24" s="58"/>
      <c r="E24" s="58"/>
      <c r="F24" s="58"/>
      <c r="G24" s="59" t="s">
        <v>275</v>
      </c>
    </row>
    <row r="25">
      <c r="A25" s="57"/>
      <c r="D25" s="58"/>
      <c r="E25" s="58"/>
      <c r="F25" s="58"/>
      <c r="G25" s="59" t="s">
        <v>275</v>
      </c>
    </row>
    <row r="26">
      <c r="A26" s="57"/>
      <c r="D26" s="58"/>
      <c r="E26" s="58"/>
      <c r="F26" s="58"/>
      <c r="G26" s="59" t="s">
        <v>275</v>
      </c>
    </row>
    <row r="27">
      <c r="A27" s="57"/>
      <c r="D27" s="58"/>
      <c r="E27" s="58"/>
      <c r="F27" s="58"/>
      <c r="G27" s="59" t="s">
        <v>275</v>
      </c>
    </row>
    <row r="28">
      <c r="A28" s="57"/>
      <c r="D28" s="58"/>
      <c r="E28" s="58"/>
      <c r="F28" s="58"/>
      <c r="G28" s="59" t="s">
        <v>275</v>
      </c>
    </row>
    <row r="29">
      <c r="A29" s="57"/>
      <c r="D29" s="58"/>
      <c r="E29" s="58"/>
      <c r="F29" s="58"/>
      <c r="G29" s="59" t="s">
        <v>275</v>
      </c>
    </row>
    <row r="30">
      <c r="A30" s="57"/>
      <c r="D30" s="58"/>
      <c r="E30" s="58"/>
      <c r="F30" s="58"/>
      <c r="G30" s="59" t="s">
        <v>275</v>
      </c>
    </row>
    <row r="31">
      <c r="A31" s="57"/>
      <c r="D31" s="58"/>
      <c r="E31" s="58"/>
      <c r="F31" s="58"/>
      <c r="G31" s="59" t="s">
        <v>275</v>
      </c>
    </row>
    <row r="32">
      <c r="A32" s="57"/>
      <c r="D32" s="58"/>
      <c r="E32" s="58"/>
      <c r="F32" s="58"/>
      <c r="G32" s="59" t="s">
        <v>275</v>
      </c>
    </row>
    <row r="33">
      <c r="A33" s="57"/>
      <c r="D33" s="58"/>
      <c r="E33" s="58"/>
      <c r="F33" s="58"/>
      <c r="G33" s="59" t="s">
        <v>275</v>
      </c>
    </row>
    <row r="34">
      <c r="A34" s="57"/>
      <c r="D34" s="58"/>
      <c r="E34" s="58"/>
      <c r="F34" s="58"/>
      <c r="G34" s="59" t="s">
        <v>275</v>
      </c>
    </row>
    <row r="35">
      <c r="A35" s="57"/>
      <c r="D35" s="58"/>
      <c r="E35" s="58"/>
      <c r="F35" s="58"/>
      <c r="G35" s="59" t="s">
        <v>275</v>
      </c>
    </row>
    <row r="36">
      <c r="A36" s="57"/>
      <c r="D36" s="58"/>
      <c r="E36" s="58"/>
      <c r="F36" s="58"/>
      <c r="G36" s="59" t="s">
        <v>275</v>
      </c>
    </row>
    <row r="37">
      <c r="A37" s="57"/>
      <c r="D37" s="58"/>
      <c r="E37" s="58"/>
      <c r="F37" s="58"/>
      <c r="G37" s="59" t="s">
        <v>275</v>
      </c>
    </row>
    <row r="38">
      <c r="A38" s="57"/>
      <c r="D38" s="58"/>
      <c r="E38" s="58"/>
      <c r="F38" s="58"/>
      <c r="G38" s="59" t="s">
        <v>275</v>
      </c>
    </row>
    <row r="39">
      <c r="A39" s="57"/>
      <c r="D39" s="58"/>
      <c r="E39" s="58"/>
      <c r="F39" s="58"/>
      <c r="G39" s="59" t="s">
        <v>275</v>
      </c>
    </row>
    <row r="40">
      <c r="A40" s="57"/>
      <c r="D40" s="58"/>
      <c r="E40" s="58"/>
      <c r="F40" s="58"/>
      <c r="G40" s="59" t="s">
        <v>275</v>
      </c>
    </row>
    <row r="41">
      <c r="A41" s="57"/>
      <c r="D41" s="58"/>
      <c r="E41" s="58"/>
      <c r="F41" s="58"/>
      <c r="G41" s="59" t="s">
        <v>275</v>
      </c>
    </row>
    <row r="42">
      <c r="A42" s="57"/>
      <c r="D42" s="58"/>
      <c r="E42" s="58"/>
      <c r="F42" s="58"/>
      <c r="G42" s="59" t="s">
        <v>275</v>
      </c>
    </row>
    <row r="43">
      <c r="A43" s="57"/>
      <c r="D43" s="58"/>
      <c r="E43" s="58"/>
      <c r="F43" s="58"/>
      <c r="G43" s="59" t="s">
        <v>275</v>
      </c>
    </row>
    <row r="44">
      <c r="A44" s="57"/>
      <c r="D44" s="58"/>
      <c r="E44" s="58"/>
      <c r="F44" s="58"/>
      <c r="G44" s="59" t="s">
        <v>275</v>
      </c>
    </row>
    <row r="45">
      <c r="A45" s="57"/>
      <c r="D45" s="58"/>
      <c r="E45" s="58"/>
      <c r="F45" s="58"/>
      <c r="G45" s="59" t="s">
        <v>275</v>
      </c>
    </row>
    <row r="46">
      <c r="A46" s="57"/>
      <c r="D46" s="58"/>
      <c r="E46" s="58"/>
      <c r="F46" s="58"/>
      <c r="G46" s="59" t="s">
        <v>275</v>
      </c>
    </row>
    <row r="47">
      <c r="A47" s="57"/>
      <c r="D47" s="58"/>
      <c r="E47" s="58"/>
      <c r="F47" s="58"/>
      <c r="G47" s="59" t="s">
        <v>275</v>
      </c>
    </row>
    <row r="48">
      <c r="A48" s="57"/>
      <c r="D48" s="58"/>
      <c r="E48" s="58"/>
      <c r="F48" s="58"/>
      <c r="G48" s="59" t="s">
        <v>275</v>
      </c>
    </row>
    <row r="49">
      <c r="A49" s="57"/>
      <c r="D49" s="58"/>
      <c r="E49" s="58"/>
      <c r="F49" s="58"/>
      <c r="G49" s="59" t="s">
        <v>275</v>
      </c>
    </row>
    <row r="50">
      <c r="A50" s="57"/>
      <c r="D50" s="58"/>
      <c r="E50" s="58"/>
      <c r="F50" s="58"/>
      <c r="G50" s="59" t="s">
        <v>275</v>
      </c>
    </row>
    <row r="51">
      <c r="A51" s="57"/>
      <c r="D51" s="58"/>
      <c r="E51" s="58"/>
      <c r="F51" s="58"/>
      <c r="G51" s="59" t="s">
        <v>275</v>
      </c>
    </row>
    <row r="52">
      <c r="A52" s="57"/>
      <c r="D52" s="58"/>
      <c r="E52" s="58"/>
      <c r="F52" s="58"/>
      <c r="G52" s="59" t="s">
        <v>275</v>
      </c>
    </row>
    <row r="53">
      <c r="A53" s="57"/>
      <c r="D53" s="58"/>
      <c r="E53" s="58"/>
      <c r="F53" s="58"/>
      <c r="G53" s="59" t="s">
        <v>275</v>
      </c>
    </row>
    <row r="54">
      <c r="A54" s="57"/>
      <c r="D54" s="58"/>
      <c r="E54" s="58"/>
      <c r="F54" s="58"/>
      <c r="G54" s="59" t="s">
        <v>275</v>
      </c>
    </row>
    <row r="55">
      <c r="A55" s="57"/>
      <c r="D55" s="58"/>
      <c r="E55" s="58"/>
      <c r="F55" s="58"/>
      <c r="G55" s="59" t="s">
        <v>275</v>
      </c>
    </row>
    <row r="56">
      <c r="A56" s="57"/>
      <c r="D56" s="58"/>
      <c r="E56" s="58"/>
      <c r="F56" s="58"/>
      <c r="G56" s="59" t="s">
        <v>275</v>
      </c>
    </row>
    <row r="57">
      <c r="A57" s="57"/>
      <c r="D57" s="58"/>
      <c r="E57" s="58"/>
      <c r="F57" s="58"/>
      <c r="G57" s="59" t="s">
        <v>275</v>
      </c>
    </row>
    <row r="58">
      <c r="A58" s="57"/>
      <c r="D58" s="58"/>
      <c r="E58" s="58"/>
      <c r="F58" s="58"/>
      <c r="G58" s="59" t="s">
        <v>275</v>
      </c>
    </row>
    <row r="59">
      <c r="A59" s="57"/>
      <c r="D59" s="58"/>
      <c r="E59" s="58"/>
      <c r="F59" s="58"/>
      <c r="G59" s="59" t="s">
        <v>275</v>
      </c>
    </row>
    <row r="60">
      <c r="A60" s="57"/>
      <c r="D60" s="58"/>
      <c r="E60" s="58"/>
      <c r="F60" s="58"/>
      <c r="G60" s="59" t="s">
        <v>275</v>
      </c>
    </row>
    <row r="61">
      <c r="A61" s="57"/>
      <c r="D61" s="58"/>
      <c r="E61" s="58"/>
      <c r="F61" s="58"/>
      <c r="G61" s="59" t="s">
        <v>275</v>
      </c>
    </row>
    <row r="62">
      <c r="A62" s="57"/>
      <c r="D62" s="58"/>
      <c r="E62" s="58"/>
      <c r="F62" s="58"/>
      <c r="G62" s="59" t="s">
        <v>275</v>
      </c>
    </row>
    <row r="63">
      <c r="A63" s="57"/>
      <c r="D63" s="58"/>
      <c r="E63" s="58"/>
      <c r="F63" s="58"/>
      <c r="G63" s="59" t="s">
        <v>275</v>
      </c>
    </row>
    <row r="64">
      <c r="A64" s="57"/>
      <c r="D64" s="58"/>
      <c r="E64" s="58"/>
      <c r="F64" s="58"/>
      <c r="G64" s="59" t="s">
        <v>275</v>
      </c>
    </row>
    <row r="65">
      <c r="A65" s="57"/>
      <c r="D65" s="58"/>
      <c r="E65" s="58"/>
      <c r="F65" s="58"/>
      <c r="G65" s="59" t="s">
        <v>275</v>
      </c>
    </row>
    <row r="66">
      <c r="A66" s="57"/>
      <c r="D66" s="58"/>
      <c r="E66" s="58"/>
      <c r="F66" s="58"/>
      <c r="G66" s="59" t="s">
        <v>275</v>
      </c>
    </row>
    <row r="67">
      <c r="A67" s="57"/>
      <c r="D67" s="58"/>
      <c r="E67" s="58"/>
      <c r="F67" s="58"/>
      <c r="G67" s="59" t="s">
        <v>275</v>
      </c>
    </row>
    <row r="68">
      <c r="A68" s="57"/>
      <c r="D68" s="58"/>
      <c r="E68" s="58"/>
      <c r="F68" s="58"/>
      <c r="G68" s="59" t="s">
        <v>275</v>
      </c>
    </row>
    <row r="69">
      <c r="A69" s="57"/>
      <c r="D69" s="58"/>
      <c r="E69" s="58"/>
      <c r="F69" s="58"/>
      <c r="G69" s="59" t="s">
        <v>275</v>
      </c>
    </row>
    <row r="70">
      <c r="A70" s="57"/>
      <c r="D70" s="58"/>
      <c r="E70" s="58"/>
      <c r="F70" s="58"/>
      <c r="G70" s="59" t="s">
        <v>275</v>
      </c>
    </row>
    <row r="71">
      <c r="A71" s="57"/>
      <c r="D71" s="58"/>
      <c r="E71" s="58"/>
      <c r="F71" s="58"/>
      <c r="G71" s="59" t="s">
        <v>275</v>
      </c>
    </row>
    <row r="72">
      <c r="A72" s="57"/>
      <c r="D72" s="58"/>
      <c r="E72" s="58"/>
      <c r="F72" s="58"/>
      <c r="G72" s="59" t="s">
        <v>275</v>
      </c>
    </row>
    <row r="73">
      <c r="A73" s="57"/>
      <c r="D73" s="58"/>
      <c r="E73" s="58"/>
      <c r="F73" s="58"/>
      <c r="G73" s="59" t="s">
        <v>275</v>
      </c>
    </row>
    <row r="74">
      <c r="A74" s="57"/>
      <c r="D74" s="58"/>
      <c r="E74" s="58"/>
      <c r="F74" s="58"/>
      <c r="G74" s="59" t="s">
        <v>275</v>
      </c>
    </row>
    <row r="75">
      <c r="A75" s="57"/>
      <c r="D75" s="58"/>
      <c r="E75" s="58"/>
      <c r="F75" s="58"/>
      <c r="G75" s="59" t="s">
        <v>275</v>
      </c>
    </row>
    <row r="76">
      <c r="A76" s="57"/>
      <c r="D76" s="58"/>
      <c r="E76" s="58"/>
      <c r="F76" s="58"/>
      <c r="G76" s="59" t="s">
        <v>275</v>
      </c>
    </row>
    <row r="77">
      <c r="A77" s="57"/>
      <c r="D77" s="58"/>
      <c r="E77" s="58"/>
      <c r="F77" s="58"/>
      <c r="G77" s="59" t="s">
        <v>275</v>
      </c>
    </row>
    <row r="78">
      <c r="A78" s="57"/>
      <c r="D78" s="58"/>
      <c r="E78" s="58"/>
      <c r="F78" s="58"/>
      <c r="G78" s="59" t="s">
        <v>275</v>
      </c>
    </row>
    <row r="79">
      <c r="A79" s="57"/>
      <c r="D79" s="58"/>
      <c r="E79" s="58"/>
      <c r="F79" s="58"/>
      <c r="G79" s="59" t="s">
        <v>275</v>
      </c>
    </row>
    <row r="80">
      <c r="A80" s="57"/>
      <c r="D80" s="58"/>
      <c r="E80" s="58"/>
      <c r="F80" s="58"/>
      <c r="G80" s="59" t="s">
        <v>275</v>
      </c>
    </row>
    <row r="81">
      <c r="A81" s="57"/>
      <c r="D81" s="58"/>
      <c r="E81" s="58"/>
      <c r="F81" s="58"/>
      <c r="G81" s="59" t="s">
        <v>275</v>
      </c>
    </row>
    <row r="82">
      <c r="A82" s="57"/>
      <c r="D82" s="58"/>
      <c r="E82" s="58"/>
      <c r="F82" s="58"/>
      <c r="G82" s="59" t="s">
        <v>275</v>
      </c>
    </row>
    <row r="83">
      <c r="A83" s="57"/>
      <c r="D83" s="58"/>
      <c r="E83" s="58"/>
      <c r="F83" s="58"/>
      <c r="G83" s="59" t="s">
        <v>275</v>
      </c>
    </row>
    <row r="84">
      <c r="A84" s="57"/>
      <c r="D84" s="58"/>
      <c r="E84" s="58"/>
      <c r="F84" s="58"/>
      <c r="G84" s="59" t="s">
        <v>275</v>
      </c>
    </row>
    <row r="85">
      <c r="A85" s="57"/>
      <c r="D85" s="58"/>
      <c r="E85" s="58"/>
      <c r="F85" s="58"/>
      <c r="G85" s="59" t="s">
        <v>275</v>
      </c>
    </row>
    <row r="86">
      <c r="A86" s="57"/>
      <c r="D86" s="58"/>
      <c r="E86" s="58"/>
      <c r="F86" s="58"/>
      <c r="G86" s="59" t="s">
        <v>275</v>
      </c>
    </row>
    <row r="87">
      <c r="A87" s="57"/>
      <c r="D87" s="58"/>
      <c r="E87" s="58"/>
      <c r="F87" s="58"/>
      <c r="G87" s="59" t="s">
        <v>275</v>
      </c>
    </row>
    <row r="88">
      <c r="A88" s="57"/>
      <c r="D88" s="58"/>
      <c r="E88" s="58"/>
      <c r="F88" s="58"/>
      <c r="G88" s="59" t="s">
        <v>275</v>
      </c>
    </row>
    <row r="89">
      <c r="A89" s="57"/>
      <c r="D89" s="58"/>
      <c r="E89" s="58"/>
      <c r="F89" s="58"/>
      <c r="G89" s="59" t="s">
        <v>275</v>
      </c>
    </row>
    <row r="90">
      <c r="A90" s="57"/>
      <c r="D90" s="58"/>
      <c r="E90" s="58"/>
      <c r="F90" s="58"/>
      <c r="G90" s="59" t="s">
        <v>275</v>
      </c>
    </row>
    <row r="91">
      <c r="A91" s="57"/>
      <c r="D91" s="58"/>
      <c r="E91" s="58"/>
      <c r="F91" s="58"/>
      <c r="G91" s="59" t="s">
        <v>275</v>
      </c>
    </row>
    <row r="92">
      <c r="A92" s="57"/>
      <c r="D92" s="58"/>
      <c r="E92" s="58"/>
      <c r="F92" s="58"/>
      <c r="G92" s="59" t="s">
        <v>275</v>
      </c>
    </row>
    <row r="93">
      <c r="A93" s="57"/>
      <c r="D93" s="58"/>
      <c r="E93" s="58"/>
      <c r="F93" s="58"/>
      <c r="G93" s="59" t="s">
        <v>275</v>
      </c>
    </row>
    <row r="94">
      <c r="A94" s="57"/>
      <c r="D94" s="58"/>
      <c r="E94" s="58"/>
      <c r="F94" s="58"/>
      <c r="G94" s="59" t="s">
        <v>275</v>
      </c>
    </row>
    <row r="95">
      <c r="A95" s="57"/>
      <c r="D95" s="58"/>
      <c r="E95" s="58"/>
      <c r="F95" s="58"/>
      <c r="G95" s="59" t="s">
        <v>275</v>
      </c>
    </row>
    <row r="96">
      <c r="A96" s="57"/>
      <c r="D96" s="58"/>
      <c r="E96" s="58"/>
      <c r="F96" s="58"/>
      <c r="G96" s="59" t="s">
        <v>275</v>
      </c>
    </row>
    <row r="97">
      <c r="A97" s="57"/>
      <c r="D97" s="58"/>
      <c r="E97" s="58"/>
      <c r="F97" s="58"/>
      <c r="G97" s="59" t="s">
        <v>275</v>
      </c>
    </row>
    <row r="98">
      <c r="A98" s="57"/>
      <c r="D98" s="58"/>
      <c r="E98" s="58"/>
      <c r="F98" s="58"/>
      <c r="G98" s="59" t="s">
        <v>275</v>
      </c>
    </row>
    <row r="99">
      <c r="A99" s="57"/>
      <c r="D99" s="58"/>
      <c r="E99" s="58"/>
      <c r="F99" s="58"/>
      <c r="G99" s="59" t="s">
        <v>275</v>
      </c>
    </row>
    <row r="100">
      <c r="A100" s="57"/>
      <c r="D100" s="58"/>
      <c r="E100" s="58"/>
      <c r="F100" s="58"/>
      <c r="G100" s="59" t="s">
        <v>275</v>
      </c>
    </row>
    <row r="101">
      <c r="A101" s="57"/>
      <c r="D101" s="58"/>
      <c r="E101" s="58"/>
      <c r="F101" s="58"/>
      <c r="G101" s="59" t="s">
        <v>275</v>
      </c>
    </row>
    <row r="102">
      <c r="A102" s="57"/>
      <c r="D102" s="58"/>
      <c r="E102" s="58"/>
      <c r="F102" s="58"/>
      <c r="G102" s="59" t="s">
        <v>275</v>
      </c>
    </row>
    <row r="103">
      <c r="A103" s="57"/>
      <c r="D103" s="58"/>
      <c r="E103" s="58"/>
      <c r="F103" s="58"/>
      <c r="G103" s="59" t="s">
        <v>275</v>
      </c>
    </row>
    <row r="104">
      <c r="A104" s="57"/>
      <c r="D104" s="58"/>
      <c r="E104" s="58"/>
      <c r="F104" s="58"/>
      <c r="G104" s="59" t="s">
        <v>275</v>
      </c>
    </row>
    <row r="105">
      <c r="A105" s="57"/>
      <c r="D105" s="58"/>
      <c r="E105" s="58"/>
      <c r="F105" s="58"/>
      <c r="G105" s="59" t="s">
        <v>275</v>
      </c>
    </row>
    <row r="106">
      <c r="A106" s="57"/>
      <c r="D106" s="58"/>
      <c r="E106" s="58"/>
      <c r="F106" s="58"/>
      <c r="G106" s="59" t="s">
        <v>275</v>
      </c>
    </row>
    <row r="107">
      <c r="A107" s="57"/>
      <c r="D107" s="58"/>
      <c r="E107" s="58"/>
      <c r="F107" s="58"/>
      <c r="G107" s="59" t="s">
        <v>275</v>
      </c>
    </row>
    <row r="108">
      <c r="A108" s="57"/>
      <c r="D108" s="58"/>
      <c r="E108" s="58"/>
      <c r="F108" s="58"/>
      <c r="G108" s="59" t="s">
        <v>275</v>
      </c>
    </row>
    <row r="109">
      <c r="A109" s="57"/>
      <c r="D109" s="58"/>
      <c r="E109" s="58"/>
      <c r="F109" s="58"/>
      <c r="G109" s="59" t="s">
        <v>275</v>
      </c>
    </row>
    <row r="110">
      <c r="A110" s="57"/>
      <c r="D110" s="58"/>
      <c r="E110" s="58"/>
      <c r="F110" s="58"/>
      <c r="G110" s="59" t="s">
        <v>275</v>
      </c>
    </row>
    <row r="111">
      <c r="A111" s="57"/>
      <c r="D111" s="58"/>
      <c r="E111" s="58"/>
      <c r="F111" s="58"/>
      <c r="G111" s="59" t="s">
        <v>275</v>
      </c>
    </row>
    <row r="112">
      <c r="A112" s="57"/>
      <c r="D112" s="58"/>
      <c r="E112" s="58"/>
      <c r="F112" s="58"/>
      <c r="G112" s="59" t="s">
        <v>275</v>
      </c>
    </row>
    <row r="113">
      <c r="A113" s="57"/>
      <c r="D113" s="58"/>
      <c r="E113" s="58"/>
      <c r="F113" s="58"/>
      <c r="G113" s="59" t="s">
        <v>275</v>
      </c>
    </row>
    <row r="114">
      <c r="A114" s="57"/>
      <c r="D114" s="58"/>
      <c r="E114" s="58"/>
      <c r="F114" s="58"/>
      <c r="G114" s="59" t="s">
        <v>275</v>
      </c>
    </row>
    <row r="115">
      <c r="A115" s="57"/>
      <c r="D115" s="58"/>
      <c r="E115" s="58"/>
      <c r="F115" s="58"/>
      <c r="G115" s="59" t="s">
        <v>275</v>
      </c>
    </row>
    <row r="116">
      <c r="A116" s="57"/>
      <c r="D116" s="58"/>
      <c r="E116" s="58"/>
      <c r="F116" s="58"/>
      <c r="G116" s="59" t="s">
        <v>275</v>
      </c>
    </row>
    <row r="117">
      <c r="A117" s="57"/>
      <c r="D117" s="58"/>
      <c r="E117" s="58"/>
      <c r="F117" s="58"/>
      <c r="G117" s="59" t="s">
        <v>275</v>
      </c>
    </row>
    <row r="118">
      <c r="A118" s="57"/>
      <c r="D118" s="58"/>
      <c r="E118" s="58"/>
      <c r="F118" s="58"/>
      <c r="G118" s="59" t="s">
        <v>275</v>
      </c>
    </row>
    <row r="119">
      <c r="A119" s="57"/>
      <c r="D119" s="58"/>
      <c r="E119" s="58"/>
      <c r="F119" s="58"/>
      <c r="G119" s="59" t="s">
        <v>275</v>
      </c>
    </row>
    <row r="120">
      <c r="A120" s="57"/>
      <c r="D120" s="58"/>
      <c r="E120" s="58"/>
      <c r="F120" s="58"/>
      <c r="G120" s="59" t="s">
        <v>275</v>
      </c>
    </row>
    <row r="121">
      <c r="A121" s="57"/>
      <c r="D121" s="58"/>
      <c r="E121" s="58"/>
      <c r="F121" s="58"/>
      <c r="G121" s="59" t="s">
        <v>275</v>
      </c>
    </row>
    <row r="122">
      <c r="A122" s="57"/>
      <c r="D122" s="58"/>
      <c r="E122" s="58"/>
      <c r="F122" s="58"/>
      <c r="G122" s="59" t="s">
        <v>275</v>
      </c>
    </row>
    <row r="123">
      <c r="A123" s="57"/>
      <c r="D123" s="58"/>
      <c r="E123" s="58"/>
      <c r="F123" s="58"/>
      <c r="G123" s="59" t="s">
        <v>275</v>
      </c>
    </row>
    <row r="124">
      <c r="A124" s="57"/>
      <c r="D124" s="58"/>
      <c r="E124" s="58"/>
      <c r="F124" s="58"/>
      <c r="G124" s="59" t="s">
        <v>275</v>
      </c>
    </row>
    <row r="125">
      <c r="A125" s="57"/>
      <c r="D125" s="58"/>
      <c r="E125" s="58"/>
      <c r="F125" s="58"/>
      <c r="G125" s="59" t="s">
        <v>275</v>
      </c>
    </row>
    <row r="126">
      <c r="A126" s="57"/>
      <c r="D126" s="58"/>
      <c r="E126" s="58"/>
      <c r="F126" s="58"/>
      <c r="G126" s="59" t="s">
        <v>275</v>
      </c>
    </row>
    <row r="127">
      <c r="A127" s="57"/>
      <c r="D127" s="58"/>
      <c r="E127" s="58"/>
      <c r="F127" s="58"/>
      <c r="G127" s="59" t="s">
        <v>275</v>
      </c>
    </row>
    <row r="128">
      <c r="A128" s="57"/>
      <c r="D128" s="58"/>
      <c r="E128" s="58"/>
      <c r="F128" s="58"/>
      <c r="G128" s="59" t="s">
        <v>275</v>
      </c>
    </row>
    <row r="129">
      <c r="A129" s="57"/>
      <c r="D129" s="58"/>
      <c r="E129" s="58"/>
      <c r="F129" s="58"/>
      <c r="G129" s="59" t="s">
        <v>275</v>
      </c>
    </row>
    <row r="130">
      <c r="A130" s="57"/>
      <c r="D130" s="58"/>
      <c r="E130" s="58"/>
      <c r="F130" s="58"/>
      <c r="G130" s="59" t="s">
        <v>275</v>
      </c>
    </row>
    <row r="131">
      <c r="A131" s="57"/>
      <c r="D131" s="58"/>
      <c r="E131" s="58"/>
      <c r="F131" s="58"/>
      <c r="G131" s="59" t="s">
        <v>275</v>
      </c>
    </row>
    <row r="132">
      <c r="A132" s="57"/>
      <c r="D132" s="58"/>
      <c r="E132" s="58"/>
      <c r="F132" s="58"/>
      <c r="G132" s="59" t="s">
        <v>275</v>
      </c>
    </row>
    <row r="133">
      <c r="A133" s="57"/>
      <c r="D133" s="58"/>
      <c r="E133" s="58"/>
      <c r="F133" s="58"/>
      <c r="G133" s="59" t="s">
        <v>275</v>
      </c>
    </row>
    <row r="134">
      <c r="A134" s="57"/>
      <c r="D134" s="58"/>
      <c r="E134" s="58"/>
      <c r="F134" s="58"/>
      <c r="G134" s="59" t="s">
        <v>275</v>
      </c>
    </row>
    <row r="135">
      <c r="A135" s="57"/>
      <c r="D135" s="58"/>
      <c r="E135" s="58"/>
      <c r="F135" s="58"/>
      <c r="G135" s="59" t="s">
        <v>275</v>
      </c>
    </row>
    <row r="136">
      <c r="A136" s="57"/>
      <c r="D136" s="58"/>
      <c r="E136" s="58"/>
      <c r="F136" s="58"/>
      <c r="G136" s="59" t="s">
        <v>275</v>
      </c>
    </row>
    <row r="137">
      <c r="A137" s="57"/>
      <c r="D137" s="58"/>
      <c r="E137" s="58"/>
      <c r="F137" s="58"/>
      <c r="G137" s="59" t="s">
        <v>275</v>
      </c>
    </row>
    <row r="138">
      <c r="A138" s="57"/>
      <c r="D138" s="58"/>
      <c r="E138" s="58"/>
      <c r="F138" s="58"/>
      <c r="G138" s="59" t="s">
        <v>275</v>
      </c>
    </row>
    <row r="139">
      <c r="A139" s="57"/>
      <c r="D139" s="58"/>
      <c r="E139" s="58"/>
      <c r="F139" s="58"/>
      <c r="G139" s="59" t="s">
        <v>275</v>
      </c>
    </row>
    <row r="140">
      <c r="A140" s="57"/>
      <c r="D140" s="58"/>
      <c r="E140" s="58"/>
      <c r="F140" s="58"/>
      <c r="G140" s="59" t="s">
        <v>275</v>
      </c>
    </row>
    <row r="141">
      <c r="A141" s="57"/>
      <c r="D141" s="58"/>
      <c r="E141" s="58"/>
      <c r="F141" s="58"/>
      <c r="G141" s="59" t="s">
        <v>275</v>
      </c>
    </row>
    <row r="142">
      <c r="A142" s="57"/>
      <c r="D142" s="58"/>
      <c r="E142" s="58"/>
      <c r="F142" s="58"/>
      <c r="G142" s="59" t="s">
        <v>275</v>
      </c>
    </row>
    <row r="143">
      <c r="A143" s="57"/>
      <c r="D143" s="58"/>
      <c r="E143" s="58"/>
      <c r="F143" s="58"/>
      <c r="G143" s="59" t="s">
        <v>275</v>
      </c>
    </row>
    <row r="144">
      <c r="A144" s="57"/>
      <c r="D144" s="58"/>
      <c r="E144" s="58"/>
      <c r="F144" s="58"/>
      <c r="G144" s="59" t="s">
        <v>275</v>
      </c>
    </row>
    <row r="145">
      <c r="A145" s="57"/>
      <c r="D145" s="58"/>
      <c r="E145" s="58"/>
      <c r="F145" s="58"/>
      <c r="G145" s="59" t="s">
        <v>275</v>
      </c>
    </row>
    <row r="146">
      <c r="A146" s="57"/>
      <c r="D146" s="58"/>
      <c r="E146" s="58"/>
      <c r="F146" s="58"/>
      <c r="G146" s="59" t="s">
        <v>275</v>
      </c>
    </row>
    <row r="147">
      <c r="A147" s="57"/>
      <c r="D147" s="58"/>
      <c r="E147" s="58"/>
      <c r="F147" s="58"/>
      <c r="G147" s="59" t="s">
        <v>275</v>
      </c>
    </row>
    <row r="148">
      <c r="A148" s="57"/>
      <c r="D148" s="58"/>
      <c r="E148" s="58"/>
      <c r="F148" s="58"/>
      <c r="G148" s="59" t="s">
        <v>275</v>
      </c>
    </row>
    <row r="149">
      <c r="A149" s="57"/>
      <c r="D149" s="58"/>
      <c r="E149" s="58"/>
      <c r="F149" s="58"/>
      <c r="G149" s="59" t="s">
        <v>275</v>
      </c>
    </row>
    <row r="150">
      <c r="A150" s="57"/>
      <c r="D150" s="58"/>
      <c r="E150" s="58"/>
      <c r="F150" s="58"/>
      <c r="G150" s="59" t="s">
        <v>275</v>
      </c>
    </row>
    <row r="151">
      <c r="A151" s="57"/>
      <c r="D151" s="58"/>
      <c r="E151" s="58"/>
      <c r="F151" s="58"/>
      <c r="G151" s="59" t="s">
        <v>275</v>
      </c>
    </row>
    <row r="152">
      <c r="A152" s="57"/>
      <c r="D152" s="58"/>
      <c r="E152" s="58"/>
      <c r="F152" s="58"/>
      <c r="G152" s="59" t="s">
        <v>275</v>
      </c>
    </row>
    <row r="153">
      <c r="A153" s="57"/>
      <c r="D153" s="58"/>
      <c r="E153" s="58"/>
      <c r="F153" s="58"/>
      <c r="G153" s="59" t="s">
        <v>275</v>
      </c>
    </row>
    <row r="154">
      <c r="A154" s="57"/>
      <c r="D154" s="58"/>
      <c r="E154" s="58"/>
      <c r="F154" s="58"/>
      <c r="G154" s="59" t="s">
        <v>275</v>
      </c>
    </row>
    <row r="155">
      <c r="A155" s="57"/>
      <c r="D155" s="58"/>
      <c r="E155" s="58"/>
      <c r="F155" s="58"/>
      <c r="G155" s="59" t="s">
        <v>275</v>
      </c>
    </row>
    <row r="156">
      <c r="A156" s="57"/>
      <c r="D156" s="58"/>
      <c r="E156" s="58"/>
      <c r="F156" s="58"/>
      <c r="G156" s="59" t="s">
        <v>275</v>
      </c>
    </row>
    <row r="157">
      <c r="A157" s="57"/>
      <c r="D157" s="58"/>
      <c r="E157" s="58"/>
      <c r="F157" s="58"/>
      <c r="G157" s="59" t="s">
        <v>275</v>
      </c>
    </row>
    <row r="158">
      <c r="A158" s="57"/>
      <c r="D158" s="58"/>
      <c r="E158" s="58"/>
      <c r="F158" s="58"/>
      <c r="G158" s="59" t="s">
        <v>275</v>
      </c>
    </row>
    <row r="159">
      <c r="A159" s="57"/>
      <c r="D159" s="58"/>
      <c r="E159" s="58"/>
      <c r="F159" s="58"/>
      <c r="G159" s="59" t="s">
        <v>275</v>
      </c>
    </row>
    <row r="160">
      <c r="A160" s="57"/>
      <c r="D160" s="58"/>
      <c r="E160" s="58"/>
      <c r="F160" s="58"/>
      <c r="G160" s="59" t="s">
        <v>275</v>
      </c>
    </row>
    <row r="161">
      <c r="A161" s="57"/>
      <c r="D161" s="58"/>
      <c r="E161" s="58"/>
      <c r="F161" s="58"/>
      <c r="G161" s="59" t="s">
        <v>275</v>
      </c>
    </row>
    <row r="162">
      <c r="A162" s="57"/>
      <c r="D162" s="58"/>
      <c r="E162" s="58"/>
      <c r="F162" s="58"/>
      <c r="G162" s="59" t="s">
        <v>275</v>
      </c>
    </row>
    <row r="163">
      <c r="A163" s="57"/>
      <c r="D163" s="58"/>
      <c r="E163" s="58"/>
      <c r="F163" s="58"/>
      <c r="G163" s="59" t="s">
        <v>275</v>
      </c>
    </row>
    <row r="164">
      <c r="A164" s="57"/>
      <c r="D164" s="58"/>
      <c r="E164" s="58"/>
      <c r="F164" s="58"/>
      <c r="G164" s="59" t="s">
        <v>275</v>
      </c>
    </row>
    <row r="165">
      <c r="A165" s="57"/>
      <c r="D165" s="58"/>
      <c r="E165" s="58"/>
      <c r="F165" s="58"/>
      <c r="G165" s="59" t="s">
        <v>275</v>
      </c>
    </row>
    <row r="166">
      <c r="A166" s="57"/>
      <c r="D166" s="58"/>
      <c r="E166" s="58"/>
      <c r="F166" s="58"/>
      <c r="G166" s="59" t="s">
        <v>275</v>
      </c>
    </row>
    <row r="167">
      <c r="A167" s="57"/>
      <c r="D167" s="58"/>
      <c r="E167" s="58"/>
      <c r="F167" s="58"/>
      <c r="G167" s="59" t="s">
        <v>275</v>
      </c>
    </row>
    <row r="168">
      <c r="A168" s="57"/>
      <c r="D168" s="58"/>
      <c r="E168" s="58"/>
      <c r="F168" s="58"/>
      <c r="G168" s="59" t="s">
        <v>275</v>
      </c>
    </row>
    <row r="169">
      <c r="A169" s="57"/>
      <c r="D169" s="58"/>
      <c r="E169" s="58"/>
      <c r="F169" s="58"/>
      <c r="G169" s="59" t="s">
        <v>275</v>
      </c>
    </row>
    <row r="170">
      <c r="A170" s="57"/>
      <c r="D170" s="58"/>
      <c r="E170" s="58"/>
      <c r="F170" s="58"/>
      <c r="G170" s="59" t="s">
        <v>275</v>
      </c>
    </row>
    <row r="171">
      <c r="A171" s="57"/>
      <c r="D171" s="58"/>
      <c r="E171" s="58"/>
      <c r="F171" s="58"/>
      <c r="G171" s="59" t="s">
        <v>275</v>
      </c>
    </row>
    <row r="172">
      <c r="A172" s="57"/>
      <c r="D172" s="58"/>
      <c r="E172" s="58"/>
      <c r="F172" s="58"/>
      <c r="G172" s="59" t="s">
        <v>275</v>
      </c>
    </row>
    <row r="173">
      <c r="A173" s="57"/>
      <c r="D173" s="58"/>
      <c r="E173" s="58"/>
      <c r="F173" s="58"/>
      <c r="G173" s="59" t="s">
        <v>275</v>
      </c>
    </row>
    <row r="174">
      <c r="A174" s="57"/>
      <c r="D174" s="58"/>
      <c r="E174" s="58"/>
      <c r="F174" s="58"/>
      <c r="G174" s="59" t="s">
        <v>275</v>
      </c>
    </row>
    <row r="175">
      <c r="A175" s="57"/>
      <c r="D175" s="58"/>
      <c r="E175" s="58"/>
      <c r="F175" s="58"/>
      <c r="G175" s="59" t="s">
        <v>275</v>
      </c>
    </row>
    <row r="176">
      <c r="A176" s="57"/>
      <c r="D176" s="58"/>
      <c r="E176" s="58"/>
      <c r="F176" s="58"/>
      <c r="G176" s="59" t="s">
        <v>275</v>
      </c>
    </row>
    <row r="177">
      <c r="A177" s="57"/>
      <c r="D177" s="58"/>
      <c r="E177" s="58"/>
      <c r="F177" s="58"/>
      <c r="G177" s="59" t="s">
        <v>275</v>
      </c>
    </row>
    <row r="178">
      <c r="A178" s="57"/>
      <c r="D178" s="58"/>
      <c r="E178" s="58"/>
      <c r="F178" s="58"/>
      <c r="G178" s="59" t="s">
        <v>275</v>
      </c>
    </row>
    <row r="179">
      <c r="A179" s="57"/>
      <c r="D179" s="58"/>
      <c r="E179" s="58"/>
      <c r="F179" s="58"/>
      <c r="G179" s="59" t="s">
        <v>275</v>
      </c>
    </row>
    <row r="180">
      <c r="A180" s="57"/>
      <c r="D180" s="58"/>
      <c r="E180" s="58"/>
      <c r="F180" s="58"/>
      <c r="G180" s="59" t="s">
        <v>275</v>
      </c>
    </row>
    <row r="181">
      <c r="A181" s="57"/>
      <c r="D181" s="58"/>
      <c r="E181" s="58"/>
      <c r="F181" s="58"/>
      <c r="G181" s="59" t="s">
        <v>275</v>
      </c>
    </row>
    <row r="182">
      <c r="A182" s="57"/>
      <c r="D182" s="58"/>
      <c r="E182" s="58"/>
      <c r="F182" s="58"/>
      <c r="G182" s="59" t="s">
        <v>275</v>
      </c>
    </row>
    <row r="183">
      <c r="A183" s="57"/>
      <c r="D183" s="58"/>
      <c r="E183" s="58"/>
      <c r="F183" s="58"/>
      <c r="G183" s="59" t="s">
        <v>275</v>
      </c>
    </row>
    <row r="184">
      <c r="A184" s="57"/>
      <c r="D184" s="58"/>
      <c r="E184" s="58"/>
      <c r="F184" s="58"/>
      <c r="G184" s="59" t="s">
        <v>275</v>
      </c>
    </row>
    <row r="185">
      <c r="A185" s="57"/>
      <c r="D185" s="58"/>
      <c r="E185" s="58"/>
      <c r="F185" s="58"/>
      <c r="G185" s="59" t="s">
        <v>275</v>
      </c>
    </row>
    <row r="186">
      <c r="A186" s="57"/>
      <c r="D186" s="58"/>
      <c r="E186" s="58"/>
      <c r="F186" s="58"/>
      <c r="G186" s="59" t="s">
        <v>275</v>
      </c>
    </row>
    <row r="187">
      <c r="A187" s="57"/>
      <c r="D187" s="58"/>
      <c r="E187" s="58"/>
      <c r="F187" s="58"/>
      <c r="G187" s="59" t="s">
        <v>275</v>
      </c>
    </row>
    <row r="188">
      <c r="A188" s="57"/>
      <c r="D188" s="58"/>
      <c r="E188" s="58"/>
      <c r="F188" s="58"/>
      <c r="G188" s="59" t="s">
        <v>275</v>
      </c>
    </row>
    <row r="189">
      <c r="A189" s="57"/>
      <c r="D189" s="58"/>
      <c r="E189" s="58"/>
      <c r="F189" s="58"/>
      <c r="G189" s="59" t="s">
        <v>275</v>
      </c>
    </row>
    <row r="190">
      <c r="A190" s="57"/>
      <c r="D190" s="58"/>
      <c r="E190" s="58"/>
      <c r="F190" s="58"/>
      <c r="G190" s="59" t="s">
        <v>275</v>
      </c>
    </row>
    <row r="191">
      <c r="A191" s="57"/>
      <c r="D191" s="58"/>
      <c r="E191" s="58"/>
      <c r="F191" s="58"/>
      <c r="G191" s="59" t="s">
        <v>275</v>
      </c>
    </row>
    <row r="192">
      <c r="A192" s="57"/>
      <c r="D192" s="58"/>
      <c r="E192" s="58"/>
      <c r="F192" s="58"/>
      <c r="G192" s="59" t="s">
        <v>275</v>
      </c>
    </row>
    <row r="193">
      <c r="A193" s="57"/>
      <c r="D193" s="58"/>
      <c r="E193" s="58"/>
      <c r="F193" s="58"/>
      <c r="G193" s="59" t="s">
        <v>275</v>
      </c>
    </row>
    <row r="194">
      <c r="A194" s="57"/>
      <c r="D194" s="58"/>
      <c r="E194" s="58"/>
      <c r="F194" s="58"/>
      <c r="G194" s="59" t="s">
        <v>275</v>
      </c>
    </row>
    <row r="195">
      <c r="A195" s="57"/>
      <c r="D195" s="58"/>
      <c r="E195" s="58"/>
      <c r="F195" s="58"/>
      <c r="G195" s="59" t="s">
        <v>275</v>
      </c>
    </row>
    <row r="196">
      <c r="A196" s="57"/>
      <c r="D196" s="58"/>
      <c r="E196" s="58"/>
      <c r="F196" s="58"/>
      <c r="G196" s="59" t="s">
        <v>275</v>
      </c>
    </row>
    <row r="197">
      <c r="A197" s="57"/>
      <c r="D197" s="58"/>
      <c r="E197" s="58"/>
      <c r="F197" s="58"/>
      <c r="G197" s="59" t="s">
        <v>275</v>
      </c>
    </row>
    <row r="198">
      <c r="A198" s="57"/>
      <c r="D198" s="58"/>
      <c r="E198" s="58"/>
      <c r="F198" s="58"/>
      <c r="G198" s="59" t="s">
        <v>275</v>
      </c>
    </row>
    <row r="199">
      <c r="A199" s="57"/>
      <c r="D199" s="58"/>
      <c r="E199" s="58"/>
      <c r="F199" s="58"/>
      <c r="G199" s="59" t="s">
        <v>275</v>
      </c>
    </row>
    <row r="200">
      <c r="A200" s="57"/>
      <c r="D200" s="58"/>
      <c r="E200" s="58"/>
      <c r="F200" s="58"/>
      <c r="G200" s="59" t="s">
        <v>275</v>
      </c>
    </row>
    <row r="201">
      <c r="A201" s="57"/>
      <c r="D201" s="58"/>
      <c r="E201" s="58"/>
      <c r="F201" s="58"/>
      <c r="G201" s="59" t="s">
        <v>275</v>
      </c>
    </row>
    <row r="202">
      <c r="A202" s="57"/>
      <c r="D202" s="58"/>
      <c r="E202" s="58"/>
      <c r="F202" s="58"/>
      <c r="G202" s="59" t="s">
        <v>275</v>
      </c>
    </row>
    <row r="203">
      <c r="A203" s="57"/>
      <c r="D203" s="58"/>
      <c r="E203" s="58"/>
      <c r="F203" s="58"/>
      <c r="G203" s="59" t="s">
        <v>275</v>
      </c>
    </row>
    <row r="204">
      <c r="A204" s="57"/>
      <c r="D204" s="58"/>
      <c r="E204" s="58"/>
      <c r="F204" s="58"/>
      <c r="G204" s="59" t="s">
        <v>275</v>
      </c>
    </row>
    <row r="205">
      <c r="A205" s="57"/>
      <c r="D205" s="58"/>
      <c r="E205" s="58"/>
      <c r="F205" s="58"/>
      <c r="G205" s="59" t="s">
        <v>275</v>
      </c>
    </row>
    <row r="206">
      <c r="A206" s="57"/>
      <c r="D206" s="58"/>
      <c r="E206" s="58"/>
      <c r="F206" s="58"/>
      <c r="G206" s="59" t="s">
        <v>275</v>
      </c>
    </row>
    <row r="207">
      <c r="A207" s="57"/>
      <c r="D207" s="58"/>
      <c r="E207" s="58"/>
      <c r="F207" s="58"/>
      <c r="G207" s="59" t="s">
        <v>275</v>
      </c>
    </row>
    <row r="208">
      <c r="A208" s="57"/>
      <c r="D208" s="58"/>
      <c r="E208" s="58"/>
      <c r="F208" s="58"/>
      <c r="G208" s="59" t="s">
        <v>275</v>
      </c>
    </row>
    <row r="209">
      <c r="A209" s="57"/>
      <c r="D209" s="58"/>
      <c r="E209" s="58"/>
      <c r="F209" s="58"/>
      <c r="G209" s="59" t="s">
        <v>275</v>
      </c>
    </row>
    <row r="210">
      <c r="A210" s="57"/>
      <c r="D210" s="58"/>
      <c r="E210" s="58"/>
      <c r="F210" s="58"/>
      <c r="G210" s="59" t="s">
        <v>275</v>
      </c>
    </row>
    <row r="211">
      <c r="A211" s="57"/>
      <c r="D211" s="58"/>
      <c r="E211" s="58"/>
      <c r="F211" s="58"/>
      <c r="G211" s="59" t="s">
        <v>275</v>
      </c>
    </row>
    <row r="212">
      <c r="A212" s="57"/>
      <c r="D212" s="58"/>
      <c r="E212" s="58"/>
      <c r="F212" s="58"/>
      <c r="G212" s="59" t="s">
        <v>275</v>
      </c>
    </row>
    <row r="213">
      <c r="A213" s="57"/>
      <c r="D213" s="58"/>
      <c r="E213" s="58"/>
      <c r="F213" s="58"/>
      <c r="G213" s="59" t="s">
        <v>275</v>
      </c>
    </row>
    <row r="214">
      <c r="A214" s="57"/>
      <c r="D214" s="58"/>
      <c r="E214" s="58"/>
      <c r="F214" s="58"/>
      <c r="G214" s="59" t="s">
        <v>275</v>
      </c>
    </row>
    <row r="215">
      <c r="A215" s="57"/>
      <c r="D215" s="58"/>
      <c r="E215" s="58"/>
      <c r="F215" s="58"/>
      <c r="G215" s="59" t="s">
        <v>275</v>
      </c>
    </row>
    <row r="216">
      <c r="A216" s="57"/>
      <c r="D216" s="58"/>
      <c r="E216" s="58"/>
      <c r="F216" s="58"/>
      <c r="G216" s="59" t="s">
        <v>275</v>
      </c>
    </row>
    <row r="217">
      <c r="A217" s="57"/>
      <c r="D217" s="58"/>
      <c r="E217" s="58"/>
      <c r="F217" s="58"/>
      <c r="G217" s="59" t="s">
        <v>275</v>
      </c>
    </row>
    <row r="218">
      <c r="A218" s="57"/>
      <c r="D218" s="58"/>
      <c r="E218" s="58"/>
      <c r="F218" s="58"/>
      <c r="G218" s="59" t="s">
        <v>275</v>
      </c>
    </row>
    <row r="219">
      <c r="A219" s="57"/>
      <c r="D219" s="58"/>
      <c r="E219" s="58"/>
      <c r="F219" s="58"/>
      <c r="G219" s="59" t="s">
        <v>275</v>
      </c>
    </row>
    <row r="220">
      <c r="A220" s="57"/>
      <c r="D220" s="58"/>
      <c r="E220" s="58"/>
      <c r="F220" s="58"/>
      <c r="G220" s="59" t="s">
        <v>275</v>
      </c>
    </row>
    <row r="221">
      <c r="A221" s="57"/>
      <c r="D221" s="58"/>
      <c r="E221" s="58"/>
      <c r="F221" s="58"/>
      <c r="G221" s="59" t="s">
        <v>275</v>
      </c>
    </row>
    <row r="222">
      <c r="A222" s="57"/>
      <c r="D222" s="58"/>
      <c r="E222" s="58"/>
      <c r="F222" s="58"/>
      <c r="G222" s="59" t="s">
        <v>275</v>
      </c>
    </row>
    <row r="223">
      <c r="A223" s="57"/>
      <c r="D223" s="58"/>
      <c r="E223" s="58"/>
      <c r="F223" s="58"/>
      <c r="G223" s="59" t="s">
        <v>275</v>
      </c>
    </row>
    <row r="224">
      <c r="A224" s="57"/>
      <c r="D224" s="58"/>
      <c r="E224" s="58"/>
      <c r="F224" s="58"/>
      <c r="G224" s="59" t="s">
        <v>275</v>
      </c>
    </row>
    <row r="225">
      <c r="A225" s="57"/>
      <c r="D225" s="58"/>
      <c r="E225" s="58"/>
      <c r="F225" s="58"/>
      <c r="G225" s="59" t="s">
        <v>275</v>
      </c>
    </row>
    <row r="226">
      <c r="A226" s="57"/>
      <c r="D226" s="58"/>
      <c r="E226" s="58"/>
      <c r="F226" s="58"/>
      <c r="G226" s="59" t="s">
        <v>275</v>
      </c>
    </row>
    <row r="227">
      <c r="A227" s="57"/>
      <c r="D227" s="58"/>
      <c r="E227" s="58"/>
      <c r="F227" s="58"/>
      <c r="G227" s="59" t="s">
        <v>275</v>
      </c>
    </row>
    <row r="228">
      <c r="A228" s="57"/>
      <c r="D228" s="58"/>
      <c r="E228" s="58"/>
      <c r="F228" s="58"/>
      <c r="G228" s="59" t="s">
        <v>275</v>
      </c>
    </row>
    <row r="229">
      <c r="A229" s="57"/>
      <c r="D229" s="58"/>
      <c r="E229" s="58"/>
      <c r="F229" s="58"/>
      <c r="G229" s="59" t="s">
        <v>275</v>
      </c>
    </row>
    <row r="230">
      <c r="A230" s="57"/>
      <c r="D230" s="58"/>
      <c r="E230" s="58"/>
      <c r="F230" s="58"/>
      <c r="G230" s="59" t="s">
        <v>275</v>
      </c>
    </row>
    <row r="231">
      <c r="A231" s="57"/>
      <c r="D231" s="58"/>
      <c r="E231" s="58"/>
      <c r="F231" s="58"/>
      <c r="G231" s="59" t="s">
        <v>275</v>
      </c>
    </row>
    <row r="232">
      <c r="A232" s="57"/>
      <c r="D232" s="58"/>
      <c r="E232" s="58"/>
      <c r="F232" s="58"/>
      <c r="G232" s="59" t="s">
        <v>275</v>
      </c>
    </row>
    <row r="233">
      <c r="A233" s="57"/>
      <c r="D233" s="58"/>
      <c r="E233" s="58"/>
      <c r="F233" s="58"/>
      <c r="G233" s="59" t="s">
        <v>275</v>
      </c>
    </row>
    <row r="234">
      <c r="A234" s="57"/>
      <c r="D234" s="58"/>
      <c r="E234" s="58"/>
      <c r="F234" s="58"/>
      <c r="G234" s="59" t="s">
        <v>275</v>
      </c>
    </row>
    <row r="235">
      <c r="A235" s="57"/>
      <c r="D235" s="58"/>
      <c r="E235" s="58"/>
      <c r="F235" s="58"/>
      <c r="G235" s="59" t="s">
        <v>275</v>
      </c>
    </row>
    <row r="236">
      <c r="A236" s="57"/>
      <c r="D236" s="58"/>
      <c r="E236" s="58"/>
      <c r="F236" s="58"/>
      <c r="G236" s="59" t="s">
        <v>275</v>
      </c>
    </row>
    <row r="237">
      <c r="A237" s="57"/>
      <c r="D237" s="58"/>
      <c r="E237" s="58"/>
      <c r="F237" s="58"/>
      <c r="G237" s="59" t="s">
        <v>275</v>
      </c>
    </row>
    <row r="238">
      <c r="A238" s="57"/>
      <c r="D238" s="58"/>
      <c r="E238" s="58"/>
      <c r="F238" s="58"/>
      <c r="G238" s="59" t="s">
        <v>275</v>
      </c>
    </row>
    <row r="239">
      <c r="A239" s="57"/>
      <c r="D239" s="58"/>
      <c r="E239" s="58"/>
      <c r="F239" s="58"/>
      <c r="G239" s="59" t="s">
        <v>275</v>
      </c>
    </row>
    <row r="240">
      <c r="A240" s="57"/>
      <c r="D240" s="58"/>
      <c r="E240" s="58"/>
      <c r="F240" s="58"/>
      <c r="G240" s="59" t="s">
        <v>275</v>
      </c>
    </row>
    <row r="241">
      <c r="A241" s="57"/>
      <c r="D241" s="58"/>
      <c r="E241" s="58"/>
      <c r="F241" s="58"/>
      <c r="G241" s="59" t="s">
        <v>275</v>
      </c>
    </row>
    <row r="242">
      <c r="A242" s="57"/>
      <c r="D242" s="58"/>
      <c r="E242" s="58"/>
      <c r="F242" s="58"/>
      <c r="G242" s="59" t="s">
        <v>275</v>
      </c>
    </row>
    <row r="243">
      <c r="A243" s="57"/>
      <c r="D243" s="58"/>
      <c r="E243" s="58"/>
      <c r="F243" s="58"/>
      <c r="G243" s="59" t="s">
        <v>275</v>
      </c>
    </row>
    <row r="244">
      <c r="A244" s="57"/>
      <c r="D244" s="58"/>
      <c r="E244" s="58"/>
      <c r="F244" s="58"/>
      <c r="G244" s="59" t="s">
        <v>275</v>
      </c>
    </row>
    <row r="245">
      <c r="A245" s="57"/>
      <c r="D245" s="58"/>
      <c r="E245" s="58"/>
      <c r="F245" s="58"/>
      <c r="G245" s="59" t="s">
        <v>275</v>
      </c>
    </row>
    <row r="246">
      <c r="A246" s="57"/>
      <c r="D246" s="58"/>
      <c r="E246" s="58"/>
      <c r="F246" s="58"/>
      <c r="G246" s="59" t="s">
        <v>275</v>
      </c>
    </row>
    <row r="247">
      <c r="A247" s="57"/>
      <c r="D247" s="58"/>
      <c r="E247" s="58"/>
      <c r="F247" s="58"/>
      <c r="G247" s="59" t="s">
        <v>275</v>
      </c>
    </row>
    <row r="248">
      <c r="A248" s="57"/>
      <c r="D248" s="58"/>
      <c r="E248" s="58"/>
      <c r="F248" s="58"/>
      <c r="G248" s="59" t="s">
        <v>275</v>
      </c>
    </row>
    <row r="249">
      <c r="A249" s="57"/>
      <c r="D249" s="58"/>
      <c r="E249" s="58"/>
      <c r="F249" s="58"/>
      <c r="G249" s="59" t="s">
        <v>275</v>
      </c>
    </row>
    <row r="250">
      <c r="A250" s="57"/>
      <c r="D250" s="58"/>
      <c r="E250" s="58"/>
      <c r="F250" s="58"/>
      <c r="G250" s="59" t="s">
        <v>275</v>
      </c>
    </row>
    <row r="251">
      <c r="A251" s="57"/>
      <c r="D251" s="58"/>
      <c r="E251" s="58"/>
      <c r="F251" s="58"/>
      <c r="G251" s="59" t="s">
        <v>275</v>
      </c>
    </row>
    <row r="252">
      <c r="A252" s="57"/>
      <c r="D252" s="58"/>
      <c r="E252" s="58"/>
      <c r="F252" s="58"/>
      <c r="G252" s="59" t="s">
        <v>275</v>
      </c>
    </row>
    <row r="253">
      <c r="A253" s="57"/>
      <c r="D253" s="58"/>
      <c r="E253" s="58"/>
      <c r="F253" s="58"/>
      <c r="G253" s="59" t="s">
        <v>275</v>
      </c>
    </row>
    <row r="254">
      <c r="A254" s="57"/>
      <c r="D254" s="58"/>
      <c r="E254" s="58"/>
      <c r="F254" s="58"/>
      <c r="G254" s="59" t="s">
        <v>275</v>
      </c>
    </row>
    <row r="255">
      <c r="A255" s="57"/>
      <c r="D255" s="58"/>
      <c r="E255" s="58"/>
      <c r="F255" s="58"/>
      <c r="G255" s="59" t="s">
        <v>275</v>
      </c>
    </row>
    <row r="256">
      <c r="A256" s="57"/>
      <c r="D256" s="58"/>
      <c r="E256" s="58"/>
      <c r="F256" s="58"/>
      <c r="G256" s="59" t="s">
        <v>275</v>
      </c>
    </row>
    <row r="257">
      <c r="A257" s="57"/>
      <c r="D257" s="58"/>
      <c r="E257" s="58"/>
      <c r="F257" s="58"/>
      <c r="G257" s="59" t="s">
        <v>275</v>
      </c>
    </row>
    <row r="258">
      <c r="A258" s="57"/>
      <c r="D258" s="58"/>
      <c r="E258" s="58"/>
      <c r="F258" s="58"/>
      <c r="G258" s="59" t="s">
        <v>275</v>
      </c>
    </row>
    <row r="259">
      <c r="A259" s="57"/>
      <c r="D259" s="58"/>
      <c r="E259" s="58"/>
      <c r="F259" s="58"/>
      <c r="G259" s="59" t="s">
        <v>275</v>
      </c>
    </row>
    <row r="260">
      <c r="A260" s="57"/>
      <c r="D260" s="58"/>
      <c r="E260" s="58"/>
      <c r="F260" s="58"/>
      <c r="G260" s="59" t="s">
        <v>275</v>
      </c>
    </row>
    <row r="261">
      <c r="A261" s="57"/>
      <c r="D261" s="58"/>
      <c r="E261" s="58"/>
      <c r="F261" s="58"/>
      <c r="G261" s="59" t="s">
        <v>275</v>
      </c>
    </row>
    <row r="262">
      <c r="A262" s="57"/>
      <c r="D262" s="58"/>
      <c r="E262" s="58"/>
      <c r="F262" s="58"/>
      <c r="G262" s="59" t="s">
        <v>275</v>
      </c>
    </row>
    <row r="263">
      <c r="A263" s="57"/>
      <c r="D263" s="58"/>
      <c r="E263" s="58"/>
      <c r="F263" s="58"/>
      <c r="G263" s="59" t="s">
        <v>275</v>
      </c>
    </row>
    <row r="264">
      <c r="A264" s="57"/>
      <c r="D264" s="58"/>
      <c r="E264" s="58"/>
      <c r="F264" s="58"/>
      <c r="G264" s="59" t="s">
        <v>275</v>
      </c>
    </row>
    <row r="265">
      <c r="A265" s="57"/>
      <c r="D265" s="58"/>
      <c r="E265" s="58"/>
      <c r="F265" s="58"/>
      <c r="G265" s="59" t="s">
        <v>275</v>
      </c>
    </row>
    <row r="266">
      <c r="A266" s="57"/>
      <c r="D266" s="58"/>
      <c r="E266" s="58"/>
      <c r="F266" s="58"/>
      <c r="G266" s="59" t="s">
        <v>275</v>
      </c>
    </row>
    <row r="267">
      <c r="A267" s="57"/>
      <c r="D267" s="58"/>
      <c r="E267" s="58"/>
      <c r="F267" s="58"/>
      <c r="G267" s="59" t="s">
        <v>275</v>
      </c>
    </row>
    <row r="268">
      <c r="A268" s="57"/>
      <c r="D268" s="58"/>
      <c r="E268" s="58"/>
      <c r="F268" s="58"/>
      <c r="G268" s="59" t="s">
        <v>275</v>
      </c>
    </row>
    <row r="269">
      <c r="A269" s="57"/>
      <c r="D269" s="58"/>
      <c r="E269" s="58"/>
      <c r="F269" s="58"/>
      <c r="G269" s="59" t="s">
        <v>275</v>
      </c>
    </row>
    <row r="270">
      <c r="A270" s="57"/>
      <c r="D270" s="58"/>
      <c r="E270" s="58"/>
      <c r="F270" s="58"/>
      <c r="G270" s="59" t="s">
        <v>275</v>
      </c>
    </row>
    <row r="271">
      <c r="A271" s="57"/>
      <c r="D271" s="58"/>
      <c r="E271" s="58"/>
      <c r="F271" s="58"/>
      <c r="G271" s="59" t="s">
        <v>275</v>
      </c>
    </row>
    <row r="272">
      <c r="A272" s="57"/>
      <c r="D272" s="58"/>
      <c r="E272" s="58"/>
      <c r="F272" s="58"/>
      <c r="G272" s="59" t="s">
        <v>275</v>
      </c>
    </row>
    <row r="273">
      <c r="A273" s="57"/>
      <c r="D273" s="58"/>
      <c r="E273" s="58"/>
      <c r="F273" s="58"/>
      <c r="G273" s="59" t="s">
        <v>275</v>
      </c>
    </row>
    <row r="274">
      <c r="A274" s="57"/>
      <c r="D274" s="58"/>
      <c r="E274" s="58"/>
      <c r="F274" s="58"/>
      <c r="G274" s="59" t="s">
        <v>275</v>
      </c>
    </row>
    <row r="275">
      <c r="A275" s="57"/>
      <c r="D275" s="58"/>
      <c r="E275" s="58"/>
      <c r="F275" s="58"/>
      <c r="G275" s="59" t="s">
        <v>275</v>
      </c>
    </row>
    <row r="276">
      <c r="A276" s="57"/>
      <c r="D276" s="58"/>
      <c r="E276" s="58"/>
      <c r="F276" s="58"/>
      <c r="G276" s="59" t="s">
        <v>275</v>
      </c>
    </row>
    <row r="277">
      <c r="A277" s="57"/>
      <c r="D277" s="58"/>
      <c r="E277" s="58"/>
      <c r="F277" s="58"/>
      <c r="G277" s="59" t="s">
        <v>275</v>
      </c>
    </row>
    <row r="278">
      <c r="A278" s="57"/>
      <c r="D278" s="58"/>
      <c r="E278" s="58"/>
      <c r="F278" s="58"/>
      <c r="G278" s="59" t="s">
        <v>275</v>
      </c>
    </row>
    <row r="279">
      <c r="A279" s="57"/>
      <c r="D279" s="58"/>
      <c r="E279" s="58"/>
      <c r="F279" s="58"/>
      <c r="G279" s="59" t="s">
        <v>275</v>
      </c>
    </row>
    <row r="280">
      <c r="A280" s="57"/>
      <c r="D280" s="58"/>
      <c r="E280" s="58"/>
      <c r="F280" s="58"/>
      <c r="G280" s="59" t="s">
        <v>275</v>
      </c>
    </row>
    <row r="281">
      <c r="A281" s="57"/>
      <c r="D281" s="58"/>
      <c r="E281" s="58"/>
      <c r="F281" s="58"/>
      <c r="G281" s="59" t="s">
        <v>275</v>
      </c>
    </row>
    <row r="282">
      <c r="A282" s="57"/>
      <c r="D282" s="58"/>
      <c r="E282" s="58"/>
      <c r="F282" s="58"/>
      <c r="G282" s="59" t="s">
        <v>275</v>
      </c>
    </row>
    <row r="283">
      <c r="A283" s="57"/>
      <c r="D283" s="58"/>
      <c r="E283" s="58"/>
      <c r="F283" s="58"/>
      <c r="G283" s="59" t="s">
        <v>275</v>
      </c>
    </row>
    <row r="284">
      <c r="A284" s="57"/>
      <c r="D284" s="58"/>
      <c r="E284" s="58"/>
      <c r="F284" s="58"/>
      <c r="G284" s="59" t="s">
        <v>275</v>
      </c>
    </row>
    <row r="285">
      <c r="A285" s="57"/>
      <c r="D285" s="58"/>
      <c r="E285" s="58"/>
      <c r="F285" s="58"/>
      <c r="G285" s="59" t="s">
        <v>275</v>
      </c>
    </row>
    <row r="286">
      <c r="A286" s="57"/>
      <c r="D286" s="58"/>
      <c r="E286" s="58"/>
      <c r="F286" s="58"/>
      <c r="G286" s="59" t="s">
        <v>275</v>
      </c>
    </row>
    <row r="287">
      <c r="A287" s="57"/>
      <c r="D287" s="58"/>
      <c r="E287" s="58"/>
      <c r="F287" s="58"/>
      <c r="G287" s="59" t="s">
        <v>275</v>
      </c>
    </row>
    <row r="288">
      <c r="A288" s="57"/>
      <c r="D288" s="58"/>
      <c r="E288" s="58"/>
      <c r="F288" s="58"/>
      <c r="G288" s="59" t="s">
        <v>275</v>
      </c>
    </row>
    <row r="289">
      <c r="A289" s="57"/>
      <c r="D289" s="58"/>
      <c r="E289" s="58"/>
      <c r="F289" s="58"/>
      <c r="G289" s="59" t="s">
        <v>275</v>
      </c>
    </row>
    <row r="290">
      <c r="A290" s="57"/>
      <c r="D290" s="58"/>
      <c r="E290" s="58"/>
      <c r="F290" s="58"/>
      <c r="G290" s="59" t="s">
        <v>275</v>
      </c>
    </row>
    <row r="291">
      <c r="A291" s="57"/>
      <c r="D291" s="58"/>
      <c r="E291" s="58"/>
      <c r="F291" s="58"/>
      <c r="G291" s="59" t="s">
        <v>275</v>
      </c>
    </row>
    <row r="292">
      <c r="A292" s="57"/>
      <c r="D292" s="58"/>
      <c r="E292" s="58"/>
      <c r="F292" s="58"/>
      <c r="G292" s="59" t="s">
        <v>275</v>
      </c>
    </row>
    <row r="293">
      <c r="A293" s="57"/>
      <c r="D293" s="58"/>
      <c r="E293" s="58"/>
      <c r="F293" s="58"/>
      <c r="G293" s="59" t="s">
        <v>275</v>
      </c>
    </row>
    <row r="294">
      <c r="A294" s="57"/>
      <c r="D294" s="58"/>
      <c r="E294" s="58"/>
      <c r="F294" s="58"/>
      <c r="G294" s="59" t="s">
        <v>275</v>
      </c>
    </row>
    <row r="295">
      <c r="A295" s="57"/>
      <c r="D295" s="58"/>
      <c r="E295" s="58"/>
      <c r="F295" s="58"/>
      <c r="G295" s="59" t="s">
        <v>275</v>
      </c>
    </row>
    <row r="296">
      <c r="A296" s="57"/>
      <c r="D296" s="58"/>
      <c r="E296" s="58"/>
      <c r="F296" s="58"/>
      <c r="G296" s="59" t="s">
        <v>275</v>
      </c>
    </row>
    <row r="297">
      <c r="A297" s="57"/>
      <c r="D297" s="58"/>
      <c r="E297" s="58"/>
      <c r="F297" s="58"/>
      <c r="G297" s="59" t="s">
        <v>275</v>
      </c>
    </row>
    <row r="298">
      <c r="A298" s="57"/>
      <c r="D298" s="58"/>
      <c r="E298" s="58"/>
      <c r="F298" s="58"/>
      <c r="G298" s="59" t="s">
        <v>275</v>
      </c>
    </row>
    <row r="299">
      <c r="A299" s="57"/>
      <c r="D299" s="58"/>
      <c r="E299" s="58"/>
      <c r="F299" s="58"/>
      <c r="G299" s="59" t="s">
        <v>275</v>
      </c>
    </row>
    <row r="300">
      <c r="A300" s="57"/>
      <c r="D300" s="58"/>
      <c r="E300" s="58"/>
      <c r="F300" s="58"/>
      <c r="G300" s="59" t="s">
        <v>275</v>
      </c>
    </row>
    <row r="301">
      <c r="A301" s="57"/>
      <c r="D301" s="58"/>
      <c r="E301" s="58"/>
      <c r="F301" s="58"/>
      <c r="G301" s="59" t="s">
        <v>275</v>
      </c>
    </row>
    <row r="302">
      <c r="A302" s="57"/>
      <c r="D302" s="58"/>
      <c r="E302" s="58"/>
      <c r="F302" s="58"/>
      <c r="G302" s="59" t="s">
        <v>275</v>
      </c>
    </row>
    <row r="303">
      <c r="A303" s="57"/>
      <c r="D303" s="58"/>
      <c r="E303" s="58"/>
      <c r="F303" s="58"/>
      <c r="G303" s="59" t="s">
        <v>275</v>
      </c>
    </row>
    <row r="304">
      <c r="A304" s="57"/>
      <c r="D304" s="58"/>
      <c r="E304" s="58"/>
      <c r="F304" s="58"/>
      <c r="G304" s="59" t="s">
        <v>275</v>
      </c>
    </row>
    <row r="305">
      <c r="A305" s="57"/>
      <c r="D305" s="58"/>
      <c r="E305" s="58"/>
      <c r="F305" s="58"/>
      <c r="G305" s="59" t="s">
        <v>275</v>
      </c>
    </row>
    <row r="306">
      <c r="A306" s="57"/>
      <c r="D306" s="58"/>
      <c r="E306" s="58"/>
      <c r="F306" s="58"/>
      <c r="G306" s="59" t="s">
        <v>275</v>
      </c>
    </row>
    <row r="307">
      <c r="A307" s="57"/>
      <c r="D307" s="58"/>
      <c r="E307" s="58"/>
      <c r="F307" s="58"/>
      <c r="G307" s="59" t="s">
        <v>275</v>
      </c>
    </row>
    <row r="308">
      <c r="A308" s="57"/>
      <c r="D308" s="58"/>
      <c r="E308" s="58"/>
      <c r="F308" s="58"/>
      <c r="G308" s="59" t="s">
        <v>275</v>
      </c>
    </row>
    <row r="309">
      <c r="A309" s="57"/>
      <c r="D309" s="58"/>
      <c r="E309" s="58"/>
      <c r="F309" s="58"/>
      <c r="G309" s="59" t="s">
        <v>275</v>
      </c>
    </row>
    <row r="310">
      <c r="A310" s="57"/>
      <c r="D310" s="58"/>
      <c r="E310" s="58"/>
      <c r="F310" s="58"/>
      <c r="G310" s="59" t="s">
        <v>275</v>
      </c>
    </row>
    <row r="311">
      <c r="A311" s="57"/>
      <c r="D311" s="58"/>
      <c r="E311" s="58"/>
      <c r="F311" s="58"/>
      <c r="G311" s="59" t="s">
        <v>275</v>
      </c>
    </row>
    <row r="312">
      <c r="A312" s="57"/>
      <c r="D312" s="58"/>
      <c r="E312" s="58"/>
      <c r="F312" s="58"/>
      <c r="G312" s="59" t="s">
        <v>275</v>
      </c>
    </row>
    <row r="313">
      <c r="A313" s="57"/>
      <c r="D313" s="58"/>
      <c r="E313" s="58"/>
      <c r="F313" s="58"/>
      <c r="G313" s="59" t="s">
        <v>275</v>
      </c>
    </row>
    <row r="314">
      <c r="A314" s="57"/>
      <c r="D314" s="58"/>
      <c r="E314" s="58"/>
      <c r="F314" s="58"/>
      <c r="G314" s="59" t="s">
        <v>275</v>
      </c>
    </row>
    <row r="315">
      <c r="A315" s="57"/>
      <c r="D315" s="58"/>
      <c r="E315" s="58"/>
      <c r="F315" s="58"/>
      <c r="G315" s="59" t="s">
        <v>275</v>
      </c>
    </row>
    <row r="316">
      <c r="A316" s="57"/>
      <c r="D316" s="58"/>
      <c r="E316" s="58"/>
      <c r="F316" s="58"/>
      <c r="G316" s="59" t="s">
        <v>275</v>
      </c>
    </row>
    <row r="317">
      <c r="A317" s="57"/>
      <c r="D317" s="58"/>
      <c r="E317" s="58"/>
      <c r="F317" s="58"/>
      <c r="G317" s="59" t="s">
        <v>275</v>
      </c>
    </row>
    <row r="318">
      <c r="A318" s="57"/>
      <c r="D318" s="58"/>
      <c r="E318" s="58"/>
      <c r="F318" s="58"/>
      <c r="G318" s="59" t="s">
        <v>275</v>
      </c>
    </row>
    <row r="319">
      <c r="A319" s="57"/>
      <c r="D319" s="58"/>
      <c r="E319" s="58"/>
      <c r="F319" s="58"/>
      <c r="G319" s="59" t="s">
        <v>275</v>
      </c>
    </row>
    <row r="320">
      <c r="A320" s="57"/>
      <c r="D320" s="58"/>
      <c r="E320" s="58"/>
      <c r="F320" s="58"/>
      <c r="G320" s="59" t="s">
        <v>275</v>
      </c>
    </row>
    <row r="321">
      <c r="A321" s="57"/>
      <c r="D321" s="58"/>
      <c r="E321" s="58"/>
      <c r="F321" s="58"/>
      <c r="G321" s="59" t="s">
        <v>275</v>
      </c>
    </row>
    <row r="322">
      <c r="A322" s="57"/>
      <c r="D322" s="58"/>
      <c r="E322" s="58"/>
      <c r="F322" s="58"/>
      <c r="G322" s="59" t="s">
        <v>275</v>
      </c>
    </row>
    <row r="323">
      <c r="A323" s="57"/>
      <c r="D323" s="58"/>
      <c r="E323" s="58"/>
      <c r="F323" s="58"/>
      <c r="G323" s="59" t="s">
        <v>275</v>
      </c>
    </row>
    <row r="324">
      <c r="A324" s="57"/>
      <c r="D324" s="58"/>
      <c r="E324" s="58"/>
      <c r="F324" s="58"/>
      <c r="G324" s="59" t="s">
        <v>275</v>
      </c>
    </row>
    <row r="325">
      <c r="A325" s="57"/>
      <c r="D325" s="58"/>
      <c r="E325" s="58"/>
      <c r="F325" s="58"/>
      <c r="G325" s="59" t="s">
        <v>275</v>
      </c>
    </row>
    <row r="326">
      <c r="A326" s="57"/>
      <c r="D326" s="58"/>
      <c r="E326" s="58"/>
      <c r="F326" s="58"/>
      <c r="G326" s="59" t="s">
        <v>275</v>
      </c>
    </row>
    <row r="327">
      <c r="A327" s="57"/>
      <c r="D327" s="58"/>
      <c r="E327" s="58"/>
      <c r="F327" s="58"/>
      <c r="G327" s="59" t="s">
        <v>275</v>
      </c>
    </row>
    <row r="328">
      <c r="A328" s="57"/>
      <c r="D328" s="58"/>
      <c r="E328" s="58"/>
      <c r="F328" s="58"/>
      <c r="G328" s="59" t="s">
        <v>275</v>
      </c>
    </row>
    <row r="329">
      <c r="A329" s="57"/>
      <c r="D329" s="58"/>
      <c r="E329" s="58"/>
      <c r="F329" s="58"/>
      <c r="G329" s="59" t="s">
        <v>275</v>
      </c>
    </row>
    <row r="330">
      <c r="A330" s="57"/>
      <c r="D330" s="58"/>
      <c r="E330" s="58"/>
      <c r="F330" s="58"/>
      <c r="G330" s="59" t="s">
        <v>275</v>
      </c>
    </row>
    <row r="331">
      <c r="A331" s="57"/>
      <c r="D331" s="58"/>
      <c r="E331" s="58"/>
      <c r="F331" s="58"/>
      <c r="G331" s="59" t="s">
        <v>275</v>
      </c>
    </row>
    <row r="332">
      <c r="A332" s="57"/>
      <c r="D332" s="58"/>
      <c r="E332" s="58"/>
      <c r="F332" s="58"/>
      <c r="G332" s="59" t="s">
        <v>275</v>
      </c>
    </row>
    <row r="333">
      <c r="A333" s="57"/>
      <c r="D333" s="58"/>
      <c r="E333" s="58"/>
      <c r="F333" s="58"/>
      <c r="G333" s="59" t="s">
        <v>275</v>
      </c>
    </row>
    <row r="334">
      <c r="A334" s="57"/>
      <c r="D334" s="58"/>
      <c r="E334" s="58"/>
      <c r="F334" s="58"/>
      <c r="G334" s="59" t="s">
        <v>275</v>
      </c>
    </row>
    <row r="335">
      <c r="A335" s="57"/>
      <c r="D335" s="58"/>
      <c r="E335" s="58"/>
      <c r="F335" s="58"/>
      <c r="G335" s="59" t="s">
        <v>275</v>
      </c>
    </row>
    <row r="336">
      <c r="A336" s="57"/>
      <c r="D336" s="58"/>
      <c r="E336" s="58"/>
      <c r="F336" s="58"/>
      <c r="G336" s="59" t="s">
        <v>275</v>
      </c>
    </row>
    <row r="337">
      <c r="A337" s="57"/>
      <c r="D337" s="58"/>
      <c r="E337" s="58"/>
      <c r="F337" s="58"/>
      <c r="G337" s="59" t="s">
        <v>275</v>
      </c>
    </row>
    <row r="338">
      <c r="A338" s="57"/>
      <c r="D338" s="58"/>
      <c r="E338" s="58"/>
      <c r="F338" s="58"/>
      <c r="G338" s="59" t="s">
        <v>275</v>
      </c>
    </row>
    <row r="339">
      <c r="A339" s="57"/>
      <c r="D339" s="58"/>
      <c r="E339" s="58"/>
      <c r="F339" s="58"/>
      <c r="G339" s="59" t="s">
        <v>275</v>
      </c>
    </row>
    <row r="340">
      <c r="A340" s="57"/>
      <c r="D340" s="58"/>
      <c r="E340" s="58"/>
      <c r="F340" s="58"/>
      <c r="G340" s="59" t="s">
        <v>275</v>
      </c>
    </row>
    <row r="341">
      <c r="A341" s="57"/>
      <c r="D341" s="58"/>
      <c r="E341" s="58"/>
      <c r="F341" s="58"/>
      <c r="G341" s="59" t="s">
        <v>275</v>
      </c>
    </row>
    <row r="342">
      <c r="A342" s="57"/>
      <c r="D342" s="58"/>
      <c r="E342" s="58"/>
      <c r="F342" s="58"/>
      <c r="G342" s="59" t="s">
        <v>275</v>
      </c>
    </row>
    <row r="343">
      <c r="A343" s="57"/>
      <c r="D343" s="58"/>
      <c r="E343" s="58"/>
      <c r="F343" s="58"/>
      <c r="G343" s="59" t="s">
        <v>275</v>
      </c>
    </row>
    <row r="344">
      <c r="A344" s="57"/>
      <c r="D344" s="58"/>
      <c r="E344" s="58"/>
      <c r="F344" s="58"/>
      <c r="G344" s="59" t="s">
        <v>275</v>
      </c>
    </row>
    <row r="345">
      <c r="A345" s="57"/>
      <c r="D345" s="58"/>
      <c r="E345" s="58"/>
      <c r="F345" s="58"/>
      <c r="G345" s="59" t="s">
        <v>275</v>
      </c>
    </row>
    <row r="346">
      <c r="A346" s="57"/>
      <c r="D346" s="58"/>
      <c r="E346" s="58"/>
      <c r="F346" s="58"/>
      <c r="G346" s="59" t="s">
        <v>275</v>
      </c>
    </row>
    <row r="347">
      <c r="A347" s="57"/>
      <c r="D347" s="58"/>
      <c r="E347" s="58"/>
      <c r="F347" s="58"/>
      <c r="G347" s="59" t="s">
        <v>275</v>
      </c>
    </row>
    <row r="348">
      <c r="A348" s="57"/>
      <c r="D348" s="58"/>
      <c r="E348" s="58"/>
      <c r="F348" s="58"/>
      <c r="G348" s="59" t="s">
        <v>275</v>
      </c>
    </row>
    <row r="349">
      <c r="A349" s="57"/>
      <c r="D349" s="58"/>
      <c r="E349" s="58"/>
      <c r="F349" s="58"/>
      <c r="G349" s="59" t="s">
        <v>275</v>
      </c>
    </row>
    <row r="350">
      <c r="A350" s="57"/>
      <c r="D350" s="58"/>
      <c r="E350" s="58"/>
      <c r="F350" s="58"/>
      <c r="G350" s="59" t="s">
        <v>275</v>
      </c>
    </row>
    <row r="351">
      <c r="A351" s="57"/>
      <c r="D351" s="58"/>
      <c r="E351" s="58"/>
      <c r="F351" s="58"/>
      <c r="G351" s="59" t="s">
        <v>275</v>
      </c>
    </row>
    <row r="352">
      <c r="A352" s="57"/>
      <c r="D352" s="58"/>
      <c r="E352" s="58"/>
      <c r="F352" s="58"/>
      <c r="G352" s="59" t="s">
        <v>275</v>
      </c>
    </row>
    <row r="353">
      <c r="A353" s="57"/>
      <c r="D353" s="58"/>
      <c r="E353" s="58"/>
      <c r="F353" s="58"/>
      <c r="G353" s="59" t="s">
        <v>275</v>
      </c>
    </row>
    <row r="354">
      <c r="A354" s="57"/>
      <c r="D354" s="58"/>
      <c r="E354" s="58"/>
      <c r="F354" s="58"/>
      <c r="G354" s="59" t="s">
        <v>275</v>
      </c>
    </row>
    <row r="355">
      <c r="A355" s="57"/>
      <c r="D355" s="58"/>
      <c r="E355" s="58"/>
      <c r="F355" s="58"/>
      <c r="G355" s="59" t="s">
        <v>275</v>
      </c>
    </row>
    <row r="356">
      <c r="A356" s="57"/>
      <c r="D356" s="58"/>
      <c r="E356" s="58"/>
      <c r="F356" s="58"/>
      <c r="G356" s="59" t="s">
        <v>275</v>
      </c>
    </row>
    <row r="357">
      <c r="A357" s="57"/>
      <c r="D357" s="58"/>
      <c r="E357" s="58"/>
      <c r="F357" s="58"/>
      <c r="G357" s="59" t="s">
        <v>275</v>
      </c>
    </row>
    <row r="358">
      <c r="A358" s="57"/>
      <c r="D358" s="58"/>
      <c r="E358" s="58"/>
      <c r="F358" s="58"/>
      <c r="G358" s="59" t="s">
        <v>275</v>
      </c>
    </row>
    <row r="359">
      <c r="A359" s="57"/>
      <c r="D359" s="58"/>
      <c r="E359" s="58"/>
      <c r="F359" s="58"/>
      <c r="G359" s="59" t="s">
        <v>275</v>
      </c>
    </row>
    <row r="360">
      <c r="A360" s="57"/>
      <c r="D360" s="58"/>
      <c r="E360" s="58"/>
      <c r="F360" s="58"/>
      <c r="G360" s="59" t="s">
        <v>275</v>
      </c>
    </row>
    <row r="361">
      <c r="A361" s="57"/>
      <c r="D361" s="58"/>
      <c r="E361" s="58"/>
      <c r="F361" s="58"/>
      <c r="G361" s="59" t="s">
        <v>275</v>
      </c>
    </row>
    <row r="362">
      <c r="A362" s="57"/>
      <c r="D362" s="58"/>
      <c r="E362" s="58"/>
      <c r="F362" s="58"/>
      <c r="G362" s="59" t="s">
        <v>275</v>
      </c>
    </row>
    <row r="363">
      <c r="A363" s="57"/>
      <c r="D363" s="58"/>
      <c r="E363" s="58"/>
      <c r="F363" s="58"/>
      <c r="G363" s="59" t="s">
        <v>275</v>
      </c>
    </row>
    <row r="364">
      <c r="A364" s="57"/>
      <c r="D364" s="58"/>
      <c r="E364" s="58"/>
      <c r="F364" s="58"/>
      <c r="G364" s="59" t="s">
        <v>275</v>
      </c>
    </row>
    <row r="365">
      <c r="A365" s="57"/>
      <c r="D365" s="58"/>
      <c r="E365" s="58"/>
      <c r="F365" s="58"/>
      <c r="G365" s="59" t="s">
        <v>275</v>
      </c>
    </row>
    <row r="366">
      <c r="A366" s="57"/>
      <c r="D366" s="58"/>
      <c r="E366" s="58"/>
      <c r="F366" s="58"/>
      <c r="G366" s="59" t="s">
        <v>275</v>
      </c>
    </row>
    <row r="367">
      <c r="A367" s="57"/>
      <c r="D367" s="58"/>
      <c r="E367" s="58"/>
      <c r="F367" s="58"/>
      <c r="G367" s="59" t="s">
        <v>275</v>
      </c>
    </row>
    <row r="368">
      <c r="A368" s="57"/>
      <c r="D368" s="58"/>
      <c r="E368" s="58"/>
      <c r="F368" s="58"/>
      <c r="G368" s="59" t="s">
        <v>275</v>
      </c>
    </row>
    <row r="369">
      <c r="A369" s="57"/>
      <c r="D369" s="58"/>
      <c r="E369" s="58"/>
      <c r="F369" s="58"/>
      <c r="G369" s="59" t="s">
        <v>275</v>
      </c>
    </row>
    <row r="370">
      <c r="A370" s="57"/>
      <c r="D370" s="58"/>
      <c r="E370" s="58"/>
      <c r="F370" s="58"/>
      <c r="G370" s="59" t="s">
        <v>275</v>
      </c>
    </row>
    <row r="371">
      <c r="A371" s="57"/>
      <c r="D371" s="58"/>
      <c r="E371" s="58"/>
      <c r="F371" s="58"/>
      <c r="G371" s="59" t="s">
        <v>275</v>
      </c>
    </row>
    <row r="372">
      <c r="A372" s="57"/>
      <c r="D372" s="58"/>
      <c r="E372" s="58"/>
      <c r="F372" s="58"/>
      <c r="G372" s="59" t="s">
        <v>275</v>
      </c>
    </row>
    <row r="373">
      <c r="A373" s="57"/>
      <c r="D373" s="58"/>
      <c r="E373" s="58"/>
      <c r="F373" s="58"/>
      <c r="G373" s="59" t="s">
        <v>275</v>
      </c>
    </row>
    <row r="374">
      <c r="A374" s="57"/>
      <c r="D374" s="58"/>
      <c r="E374" s="58"/>
      <c r="F374" s="58"/>
      <c r="G374" s="59" t="s">
        <v>275</v>
      </c>
    </row>
    <row r="375">
      <c r="A375" s="57"/>
      <c r="D375" s="58"/>
      <c r="E375" s="58"/>
      <c r="F375" s="58"/>
      <c r="G375" s="59" t="s">
        <v>275</v>
      </c>
    </row>
    <row r="376">
      <c r="A376" s="57"/>
      <c r="D376" s="58"/>
      <c r="E376" s="58"/>
      <c r="F376" s="58"/>
      <c r="G376" s="59" t="s">
        <v>275</v>
      </c>
    </row>
    <row r="377">
      <c r="A377" s="57"/>
      <c r="D377" s="58"/>
      <c r="E377" s="58"/>
      <c r="F377" s="58"/>
      <c r="G377" s="59" t="s">
        <v>275</v>
      </c>
    </row>
    <row r="378">
      <c r="A378" s="57"/>
      <c r="D378" s="58"/>
      <c r="E378" s="58"/>
      <c r="F378" s="58"/>
      <c r="G378" s="59" t="s">
        <v>275</v>
      </c>
    </row>
    <row r="379">
      <c r="A379" s="57"/>
      <c r="D379" s="58"/>
      <c r="E379" s="58"/>
      <c r="F379" s="58"/>
      <c r="G379" s="59" t="s">
        <v>275</v>
      </c>
    </row>
    <row r="380">
      <c r="A380" s="57"/>
      <c r="D380" s="58"/>
      <c r="E380" s="58"/>
      <c r="F380" s="58"/>
      <c r="G380" s="59" t="s">
        <v>275</v>
      </c>
    </row>
    <row r="381">
      <c r="A381" s="57"/>
      <c r="D381" s="58"/>
      <c r="E381" s="58"/>
      <c r="F381" s="58"/>
      <c r="G381" s="59" t="s">
        <v>275</v>
      </c>
    </row>
    <row r="382">
      <c r="A382" s="57"/>
      <c r="D382" s="58"/>
      <c r="E382" s="58"/>
      <c r="F382" s="58"/>
      <c r="G382" s="59" t="s">
        <v>275</v>
      </c>
    </row>
    <row r="383">
      <c r="A383" s="57"/>
      <c r="D383" s="58"/>
      <c r="E383" s="58"/>
      <c r="F383" s="58"/>
      <c r="G383" s="59" t="s">
        <v>275</v>
      </c>
    </row>
    <row r="384">
      <c r="A384" s="57"/>
      <c r="D384" s="58"/>
      <c r="E384" s="58"/>
      <c r="F384" s="58"/>
      <c r="G384" s="59" t="s">
        <v>275</v>
      </c>
    </row>
    <row r="385">
      <c r="A385" s="57"/>
      <c r="D385" s="58"/>
      <c r="E385" s="58"/>
      <c r="F385" s="58"/>
      <c r="G385" s="59" t="s">
        <v>275</v>
      </c>
    </row>
    <row r="386">
      <c r="A386" s="57"/>
      <c r="D386" s="58"/>
      <c r="E386" s="58"/>
      <c r="F386" s="58"/>
      <c r="G386" s="59" t="s">
        <v>275</v>
      </c>
    </row>
    <row r="387">
      <c r="A387" s="57"/>
      <c r="D387" s="58"/>
      <c r="E387" s="58"/>
      <c r="F387" s="58"/>
      <c r="G387" s="59" t="s">
        <v>275</v>
      </c>
    </row>
    <row r="388">
      <c r="A388" s="57"/>
      <c r="D388" s="58"/>
      <c r="E388" s="58"/>
      <c r="F388" s="58"/>
      <c r="G388" s="59" t="s">
        <v>275</v>
      </c>
    </row>
    <row r="389">
      <c r="A389" s="57"/>
      <c r="D389" s="58"/>
      <c r="E389" s="58"/>
      <c r="F389" s="58"/>
      <c r="G389" s="59" t="s">
        <v>275</v>
      </c>
    </row>
    <row r="390">
      <c r="A390" s="57"/>
      <c r="D390" s="58"/>
      <c r="E390" s="58"/>
      <c r="F390" s="58"/>
      <c r="G390" s="59" t="s">
        <v>275</v>
      </c>
    </row>
    <row r="391">
      <c r="A391" s="57"/>
      <c r="D391" s="58"/>
      <c r="E391" s="58"/>
      <c r="F391" s="58"/>
      <c r="G391" s="59" t="s">
        <v>275</v>
      </c>
    </row>
    <row r="392">
      <c r="A392" s="57"/>
      <c r="D392" s="58"/>
      <c r="E392" s="58"/>
      <c r="F392" s="58"/>
      <c r="G392" s="59" t="s">
        <v>275</v>
      </c>
    </row>
    <row r="393">
      <c r="A393" s="57"/>
      <c r="D393" s="58"/>
      <c r="E393" s="58"/>
      <c r="F393" s="58"/>
      <c r="G393" s="59" t="s">
        <v>275</v>
      </c>
    </row>
    <row r="394">
      <c r="A394" s="57"/>
      <c r="D394" s="58"/>
      <c r="E394" s="58"/>
      <c r="F394" s="58"/>
      <c r="G394" s="59" t="s">
        <v>275</v>
      </c>
    </row>
    <row r="395">
      <c r="A395" s="57"/>
      <c r="D395" s="58"/>
      <c r="E395" s="58"/>
      <c r="F395" s="58"/>
      <c r="G395" s="59" t="s">
        <v>275</v>
      </c>
    </row>
    <row r="396">
      <c r="A396" s="57"/>
      <c r="D396" s="58"/>
      <c r="E396" s="58"/>
      <c r="F396" s="58"/>
      <c r="G396" s="59" t="s">
        <v>275</v>
      </c>
    </row>
    <row r="397">
      <c r="A397" s="57"/>
      <c r="D397" s="58"/>
      <c r="E397" s="58"/>
      <c r="F397" s="58"/>
      <c r="G397" s="59" t="s">
        <v>275</v>
      </c>
    </row>
    <row r="398">
      <c r="A398" s="57"/>
      <c r="D398" s="58"/>
      <c r="E398" s="58"/>
      <c r="F398" s="58"/>
      <c r="G398" s="59" t="s">
        <v>275</v>
      </c>
    </row>
    <row r="399">
      <c r="A399" s="57"/>
      <c r="D399" s="58"/>
      <c r="E399" s="58"/>
      <c r="F399" s="58"/>
      <c r="G399" s="59" t="s">
        <v>275</v>
      </c>
    </row>
    <row r="400">
      <c r="A400" s="57"/>
      <c r="D400" s="58"/>
      <c r="E400" s="58"/>
      <c r="F400" s="58"/>
      <c r="G400" s="59" t="s">
        <v>275</v>
      </c>
    </row>
    <row r="401">
      <c r="A401" s="57"/>
      <c r="D401" s="58"/>
      <c r="E401" s="58"/>
      <c r="F401" s="58"/>
      <c r="G401" s="59" t="s">
        <v>275</v>
      </c>
    </row>
    <row r="402">
      <c r="A402" s="57"/>
      <c r="D402" s="58"/>
      <c r="E402" s="58"/>
      <c r="F402" s="58"/>
      <c r="G402" s="59" t="s">
        <v>275</v>
      </c>
    </row>
    <row r="403">
      <c r="A403" s="57"/>
      <c r="D403" s="58"/>
      <c r="E403" s="58"/>
      <c r="F403" s="58"/>
      <c r="G403" s="59" t="s">
        <v>275</v>
      </c>
    </row>
    <row r="404">
      <c r="A404" s="57"/>
      <c r="D404" s="58"/>
      <c r="E404" s="58"/>
      <c r="F404" s="58"/>
      <c r="G404" s="59" t="s">
        <v>275</v>
      </c>
    </row>
    <row r="405">
      <c r="A405" s="57"/>
      <c r="D405" s="58"/>
      <c r="E405" s="58"/>
      <c r="F405" s="58"/>
      <c r="G405" s="59" t="s">
        <v>275</v>
      </c>
    </row>
    <row r="406">
      <c r="A406" s="57"/>
      <c r="D406" s="58"/>
      <c r="E406" s="58"/>
      <c r="F406" s="58"/>
      <c r="G406" s="59" t="s">
        <v>275</v>
      </c>
    </row>
    <row r="407">
      <c r="A407" s="57"/>
      <c r="D407" s="58"/>
      <c r="E407" s="58"/>
      <c r="F407" s="58"/>
      <c r="G407" s="59" t="s">
        <v>275</v>
      </c>
    </row>
    <row r="408">
      <c r="A408" s="57"/>
      <c r="D408" s="58"/>
      <c r="E408" s="58"/>
      <c r="F408" s="58"/>
      <c r="G408" s="59" t="s">
        <v>275</v>
      </c>
    </row>
    <row r="409">
      <c r="A409" s="57"/>
      <c r="D409" s="58"/>
      <c r="E409" s="58"/>
      <c r="F409" s="58"/>
      <c r="G409" s="59" t="s">
        <v>275</v>
      </c>
    </row>
    <row r="410">
      <c r="A410" s="57"/>
      <c r="D410" s="58"/>
      <c r="E410" s="58"/>
      <c r="F410" s="58"/>
      <c r="G410" s="59" t="s">
        <v>275</v>
      </c>
    </row>
    <row r="411">
      <c r="A411" s="57"/>
      <c r="D411" s="58"/>
      <c r="E411" s="58"/>
      <c r="F411" s="58"/>
      <c r="G411" s="59" t="s">
        <v>275</v>
      </c>
    </row>
    <row r="412">
      <c r="A412" s="57"/>
      <c r="D412" s="58"/>
      <c r="E412" s="58"/>
      <c r="F412" s="58"/>
      <c r="G412" s="59" t="s">
        <v>275</v>
      </c>
    </row>
    <row r="413">
      <c r="A413" s="57"/>
      <c r="D413" s="58"/>
      <c r="E413" s="58"/>
      <c r="F413" s="58"/>
      <c r="G413" s="59" t="s">
        <v>275</v>
      </c>
    </row>
    <row r="414">
      <c r="A414" s="57"/>
      <c r="D414" s="58"/>
      <c r="E414" s="58"/>
      <c r="F414" s="58"/>
      <c r="G414" s="59" t="s">
        <v>275</v>
      </c>
    </row>
    <row r="415">
      <c r="A415" s="57"/>
      <c r="D415" s="58"/>
      <c r="E415" s="58"/>
      <c r="F415" s="58"/>
      <c r="G415" s="59" t="s">
        <v>275</v>
      </c>
    </row>
    <row r="416">
      <c r="A416" s="57"/>
      <c r="D416" s="58"/>
      <c r="E416" s="58"/>
      <c r="F416" s="58"/>
      <c r="G416" s="59" t="s">
        <v>275</v>
      </c>
    </row>
    <row r="417">
      <c r="A417" s="57"/>
      <c r="D417" s="58"/>
      <c r="E417" s="58"/>
      <c r="F417" s="58"/>
      <c r="G417" s="59" t="s">
        <v>275</v>
      </c>
    </row>
    <row r="418">
      <c r="A418" s="57"/>
      <c r="D418" s="58"/>
      <c r="E418" s="58"/>
      <c r="F418" s="58"/>
      <c r="G418" s="59" t="s">
        <v>275</v>
      </c>
    </row>
    <row r="419">
      <c r="A419" s="57"/>
      <c r="D419" s="58"/>
      <c r="E419" s="58"/>
      <c r="F419" s="58"/>
      <c r="G419" s="59" t="s">
        <v>275</v>
      </c>
    </row>
    <row r="420">
      <c r="A420" s="57"/>
      <c r="D420" s="58"/>
      <c r="E420" s="58"/>
      <c r="F420" s="58"/>
      <c r="G420" s="59" t="s">
        <v>275</v>
      </c>
    </row>
    <row r="421">
      <c r="A421" s="57"/>
      <c r="D421" s="58"/>
      <c r="E421" s="58"/>
      <c r="F421" s="58"/>
      <c r="G421" s="59" t="s">
        <v>275</v>
      </c>
    </row>
    <row r="422">
      <c r="A422" s="57"/>
      <c r="D422" s="58"/>
      <c r="E422" s="58"/>
      <c r="F422" s="58"/>
      <c r="G422" s="59" t="s">
        <v>275</v>
      </c>
    </row>
    <row r="423">
      <c r="A423" s="57"/>
      <c r="D423" s="58"/>
      <c r="E423" s="58"/>
      <c r="F423" s="58"/>
      <c r="G423" s="59" t="s">
        <v>275</v>
      </c>
    </row>
    <row r="424">
      <c r="A424" s="57"/>
      <c r="D424" s="58"/>
      <c r="E424" s="58"/>
      <c r="F424" s="58"/>
      <c r="G424" s="59" t="s">
        <v>275</v>
      </c>
    </row>
    <row r="425">
      <c r="A425" s="57"/>
      <c r="D425" s="58"/>
      <c r="E425" s="58"/>
      <c r="F425" s="58"/>
      <c r="G425" s="59" t="s">
        <v>275</v>
      </c>
    </row>
    <row r="426">
      <c r="A426" s="57"/>
      <c r="D426" s="58"/>
      <c r="E426" s="58"/>
      <c r="F426" s="58"/>
      <c r="G426" s="59" t="s">
        <v>275</v>
      </c>
    </row>
    <row r="427">
      <c r="A427" s="57"/>
      <c r="D427" s="58"/>
      <c r="E427" s="58"/>
      <c r="F427" s="58"/>
      <c r="G427" s="59" t="s">
        <v>275</v>
      </c>
    </row>
    <row r="428">
      <c r="A428" s="57"/>
      <c r="D428" s="58"/>
      <c r="E428" s="58"/>
      <c r="F428" s="58"/>
      <c r="G428" s="59" t="s">
        <v>275</v>
      </c>
    </row>
    <row r="429">
      <c r="A429" s="57"/>
      <c r="D429" s="58"/>
      <c r="E429" s="58"/>
      <c r="F429" s="58"/>
      <c r="G429" s="59" t="s">
        <v>275</v>
      </c>
    </row>
    <row r="430">
      <c r="A430" s="57"/>
      <c r="D430" s="58"/>
      <c r="E430" s="58"/>
      <c r="F430" s="58"/>
      <c r="G430" s="59" t="s">
        <v>275</v>
      </c>
    </row>
    <row r="431">
      <c r="A431" s="57"/>
      <c r="D431" s="58"/>
      <c r="E431" s="58"/>
      <c r="F431" s="58"/>
      <c r="G431" s="59" t="s">
        <v>275</v>
      </c>
    </row>
    <row r="432">
      <c r="A432" s="57"/>
      <c r="D432" s="58"/>
      <c r="E432" s="58"/>
      <c r="F432" s="58"/>
      <c r="G432" s="59" t="s">
        <v>275</v>
      </c>
    </row>
    <row r="433">
      <c r="A433" s="57"/>
      <c r="D433" s="58"/>
      <c r="E433" s="58"/>
      <c r="F433" s="58"/>
      <c r="G433" s="59" t="s">
        <v>275</v>
      </c>
    </row>
    <row r="434">
      <c r="A434" s="57"/>
      <c r="D434" s="58"/>
      <c r="E434" s="58"/>
      <c r="F434" s="58"/>
      <c r="G434" s="59" t="s">
        <v>275</v>
      </c>
    </row>
    <row r="435">
      <c r="A435" s="57"/>
      <c r="D435" s="58"/>
      <c r="E435" s="58"/>
      <c r="F435" s="58"/>
      <c r="G435" s="59" t="s">
        <v>275</v>
      </c>
    </row>
    <row r="436">
      <c r="A436" s="57"/>
      <c r="D436" s="58"/>
      <c r="E436" s="58"/>
      <c r="F436" s="58"/>
      <c r="G436" s="59" t="s">
        <v>275</v>
      </c>
    </row>
    <row r="437">
      <c r="A437" s="57"/>
      <c r="D437" s="58"/>
      <c r="E437" s="58"/>
      <c r="F437" s="58"/>
      <c r="G437" s="59" t="s">
        <v>275</v>
      </c>
    </row>
    <row r="438">
      <c r="A438" s="57"/>
      <c r="D438" s="58"/>
      <c r="E438" s="58"/>
      <c r="F438" s="58"/>
      <c r="G438" s="59" t="s">
        <v>275</v>
      </c>
    </row>
    <row r="439">
      <c r="A439" s="57"/>
      <c r="D439" s="58"/>
      <c r="E439" s="58"/>
      <c r="F439" s="58"/>
      <c r="G439" s="59" t="s">
        <v>275</v>
      </c>
    </row>
    <row r="440">
      <c r="A440" s="57"/>
      <c r="D440" s="58"/>
      <c r="E440" s="58"/>
      <c r="F440" s="58"/>
      <c r="G440" s="59" t="s">
        <v>275</v>
      </c>
    </row>
    <row r="441">
      <c r="A441" s="57"/>
      <c r="D441" s="58"/>
      <c r="E441" s="58"/>
      <c r="F441" s="58"/>
      <c r="G441" s="59" t="s">
        <v>275</v>
      </c>
    </row>
    <row r="442">
      <c r="A442" s="57"/>
      <c r="D442" s="58"/>
      <c r="E442" s="58"/>
      <c r="F442" s="58"/>
      <c r="G442" s="59" t="s">
        <v>275</v>
      </c>
    </row>
    <row r="443">
      <c r="A443" s="57"/>
      <c r="D443" s="58"/>
      <c r="E443" s="58"/>
      <c r="F443" s="58"/>
      <c r="G443" s="59" t="s">
        <v>275</v>
      </c>
    </row>
    <row r="444">
      <c r="A444" s="57"/>
      <c r="D444" s="58"/>
      <c r="E444" s="58"/>
      <c r="F444" s="58"/>
      <c r="G444" s="59" t="s">
        <v>275</v>
      </c>
    </row>
    <row r="445">
      <c r="A445" s="57"/>
      <c r="D445" s="58"/>
      <c r="E445" s="58"/>
      <c r="F445" s="58"/>
      <c r="G445" s="59" t="s">
        <v>275</v>
      </c>
    </row>
    <row r="446">
      <c r="A446" s="57"/>
      <c r="D446" s="58"/>
      <c r="E446" s="58"/>
      <c r="F446" s="58"/>
      <c r="G446" s="59" t="s">
        <v>275</v>
      </c>
    </row>
    <row r="447">
      <c r="A447" s="57"/>
      <c r="D447" s="58"/>
      <c r="E447" s="58"/>
      <c r="F447" s="58"/>
      <c r="G447" s="59" t="s">
        <v>275</v>
      </c>
    </row>
    <row r="448">
      <c r="A448" s="57"/>
      <c r="D448" s="58"/>
      <c r="E448" s="58"/>
      <c r="F448" s="58"/>
      <c r="G448" s="59" t="s">
        <v>275</v>
      </c>
    </row>
    <row r="449">
      <c r="A449" s="57"/>
      <c r="D449" s="58"/>
      <c r="E449" s="58"/>
      <c r="F449" s="58"/>
      <c r="G449" s="59" t="s">
        <v>275</v>
      </c>
    </row>
    <row r="450">
      <c r="A450" s="57"/>
      <c r="D450" s="58"/>
      <c r="E450" s="58"/>
      <c r="F450" s="58"/>
      <c r="G450" s="59" t="s">
        <v>275</v>
      </c>
    </row>
    <row r="451">
      <c r="A451" s="57"/>
      <c r="D451" s="58"/>
      <c r="E451" s="58"/>
      <c r="F451" s="58"/>
      <c r="G451" s="59" t="s">
        <v>275</v>
      </c>
    </row>
    <row r="452">
      <c r="A452" s="57"/>
      <c r="D452" s="58"/>
      <c r="E452" s="58"/>
      <c r="F452" s="58"/>
      <c r="G452" s="59" t="s">
        <v>275</v>
      </c>
    </row>
    <row r="453">
      <c r="A453" s="57"/>
      <c r="D453" s="58"/>
      <c r="E453" s="58"/>
      <c r="F453" s="58"/>
      <c r="G453" s="59" t="s">
        <v>275</v>
      </c>
    </row>
    <row r="454">
      <c r="A454" s="57"/>
      <c r="D454" s="58"/>
      <c r="E454" s="58"/>
      <c r="F454" s="58"/>
      <c r="G454" s="59" t="s">
        <v>275</v>
      </c>
    </row>
    <row r="455">
      <c r="A455" s="57"/>
      <c r="D455" s="58"/>
      <c r="E455" s="58"/>
      <c r="F455" s="58"/>
      <c r="G455" s="59" t="s">
        <v>275</v>
      </c>
    </row>
    <row r="456">
      <c r="A456" s="57"/>
      <c r="D456" s="58"/>
      <c r="E456" s="58"/>
      <c r="F456" s="58"/>
      <c r="G456" s="59" t="s">
        <v>275</v>
      </c>
    </row>
    <row r="457">
      <c r="A457" s="57"/>
      <c r="D457" s="58"/>
      <c r="E457" s="58"/>
      <c r="F457" s="58"/>
      <c r="G457" s="59" t="s">
        <v>275</v>
      </c>
    </row>
    <row r="458">
      <c r="A458" s="57"/>
      <c r="D458" s="58"/>
      <c r="E458" s="58"/>
      <c r="F458" s="58"/>
      <c r="G458" s="59" t="s">
        <v>275</v>
      </c>
    </row>
    <row r="459">
      <c r="A459" s="57"/>
      <c r="D459" s="58"/>
      <c r="E459" s="58"/>
      <c r="F459" s="58"/>
      <c r="G459" s="59" t="s">
        <v>275</v>
      </c>
    </row>
    <row r="460">
      <c r="A460" s="57"/>
      <c r="D460" s="58"/>
      <c r="E460" s="58"/>
      <c r="F460" s="58"/>
      <c r="G460" s="59" t="s">
        <v>275</v>
      </c>
    </row>
    <row r="461">
      <c r="A461" s="57"/>
      <c r="D461" s="58"/>
      <c r="E461" s="58"/>
      <c r="F461" s="58"/>
      <c r="G461" s="59" t="s">
        <v>275</v>
      </c>
    </row>
    <row r="462">
      <c r="A462" s="57"/>
      <c r="D462" s="58"/>
      <c r="E462" s="58"/>
      <c r="F462" s="58"/>
      <c r="G462" s="59" t="s">
        <v>275</v>
      </c>
    </row>
    <row r="463">
      <c r="A463" s="57"/>
      <c r="D463" s="58"/>
      <c r="E463" s="58"/>
      <c r="F463" s="58"/>
      <c r="G463" s="59" t="s">
        <v>275</v>
      </c>
    </row>
    <row r="464">
      <c r="A464" s="57"/>
      <c r="D464" s="58"/>
      <c r="E464" s="58"/>
      <c r="F464" s="58"/>
      <c r="G464" s="59" t="s">
        <v>275</v>
      </c>
    </row>
    <row r="465">
      <c r="A465" s="57"/>
      <c r="D465" s="58"/>
      <c r="E465" s="58"/>
      <c r="F465" s="58"/>
      <c r="G465" s="59" t="s">
        <v>275</v>
      </c>
    </row>
    <row r="466">
      <c r="A466" s="57"/>
      <c r="D466" s="58"/>
      <c r="E466" s="58"/>
      <c r="F466" s="58"/>
      <c r="G466" s="59" t="s">
        <v>275</v>
      </c>
    </row>
    <row r="467">
      <c r="A467" s="57"/>
      <c r="D467" s="58"/>
      <c r="E467" s="58"/>
      <c r="F467" s="58"/>
      <c r="G467" s="59" t="s">
        <v>275</v>
      </c>
    </row>
    <row r="468">
      <c r="A468" s="57"/>
      <c r="D468" s="58"/>
      <c r="E468" s="58"/>
      <c r="F468" s="58"/>
      <c r="G468" s="59" t="s">
        <v>275</v>
      </c>
    </row>
    <row r="469">
      <c r="A469" s="57"/>
      <c r="D469" s="58"/>
      <c r="E469" s="58"/>
      <c r="F469" s="58"/>
      <c r="G469" s="59" t="s">
        <v>275</v>
      </c>
    </row>
    <row r="470">
      <c r="A470" s="57"/>
      <c r="D470" s="58"/>
      <c r="E470" s="58"/>
      <c r="F470" s="58"/>
      <c r="G470" s="59" t="s">
        <v>275</v>
      </c>
    </row>
    <row r="471">
      <c r="A471" s="57"/>
      <c r="D471" s="58"/>
      <c r="E471" s="58"/>
      <c r="F471" s="58"/>
      <c r="G471" s="59" t="s">
        <v>275</v>
      </c>
    </row>
    <row r="472">
      <c r="A472" s="57"/>
      <c r="D472" s="58"/>
      <c r="E472" s="58"/>
      <c r="F472" s="58"/>
      <c r="G472" s="59" t="s">
        <v>275</v>
      </c>
    </row>
    <row r="473">
      <c r="A473" s="57"/>
      <c r="D473" s="58"/>
      <c r="E473" s="58"/>
      <c r="F473" s="58"/>
      <c r="G473" s="59" t="s">
        <v>275</v>
      </c>
    </row>
    <row r="474">
      <c r="A474" s="57"/>
      <c r="D474" s="58"/>
      <c r="E474" s="58"/>
      <c r="F474" s="58"/>
      <c r="G474" s="59" t="s">
        <v>275</v>
      </c>
    </row>
    <row r="475">
      <c r="A475" s="57"/>
      <c r="D475" s="58"/>
      <c r="E475" s="58"/>
      <c r="F475" s="58"/>
      <c r="G475" s="59" t="s">
        <v>275</v>
      </c>
    </row>
    <row r="476">
      <c r="A476" s="57"/>
      <c r="D476" s="58"/>
      <c r="E476" s="58"/>
      <c r="F476" s="58"/>
      <c r="G476" s="59" t="s">
        <v>275</v>
      </c>
    </row>
    <row r="477">
      <c r="A477" s="57"/>
      <c r="D477" s="58"/>
      <c r="E477" s="58"/>
      <c r="F477" s="58"/>
      <c r="G477" s="59" t="s">
        <v>275</v>
      </c>
    </row>
    <row r="478">
      <c r="A478" s="57"/>
      <c r="D478" s="58"/>
      <c r="E478" s="58"/>
      <c r="F478" s="58"/>
      <c r="G478" s="59" t="s">
        <v>275</v>
      </c>
    </row>
    <row r="479">
      <c r="A479" s="57"/>
      <c r="D479" s="58"/>
      <c r="E479" s="58"/>
      <c r="F479" s="58"/>
      <c r="G479" s="59" t="s">
        <v>275</v>
      </c>
    </row>
    <row r="480">
      <c r="A480" s="57"/>
      <c r="D480" s="58"/>
      <c r="E480" s="58"/>
      <c r="F480" s="58"/>
      <c r="G480" s="59" t="s">
        <v>275</v>
      </c>
    </row>
    <row r="481">
      <c r="A481" s="57"/>
      <c r="D481" s="58"/>
      <c r="E481" s="58"/>
      <c r="F481" s="58"/>
      <c r="G481" s="59" t="s">
        <v>275</v>
      </c>
    </row>
    <row r="482">
      <c r="A482" s="57"/>
      <c r="D482" s="58"/>
      <c r="E482" s="58"/>
      <c r="F482" s="58"/>
      <c r="G482" s="59" t="s">
        <v>275</v>
      </c>
    </row>
    <row r="483">
      <c r="A483" s="57"/>
      <c r="D483" s="58"/>
      <c r="E483" s="58"/>
      <c r="F483" s="58"/>
      <c r="G483" s="59" t="s">
        <v>275</v>
      </c>
    </row>
    <row r="484">
      <c r="A484" s="57"/>
      <c r="D484" s="58"/>
      <c r="E484" s="58"/>
      <c r="F484" s="58"/>
      <c r="G484" s="59" t="s">
        <v>275</v>
      </c>
    </row>
    <row r="485">
      <c r="A485" s="57"/>
      <c r="D485" s="58"/>
      <c r="E485" s="58"/>
      <c r="F485" s="58"/>
      <c r="G485" s="59" t="s">
        <v>275</v>
      </c>
    </row>
    <row r="486">
      <c r="A486" s="57"/>
      <c r="D486" s="58"/>
      <c r="E486" s="58"/>
      <c r="F486" s="58"/>
      <c r="G486" s="59" t="s">
        <v>275</v>
      </c>
    </row>
    <row r="487">
      <c r="A487" s="57"/>
      <c r="D487" s="58"/>
      <c r="E487" s="58"/>
      <c r="F487" s="58"/>
      <c r="G487" s="59" t="s">
        <v>275</v>
      </c>
    </row>
    <row r="488">
      <c r="A488" s="57"/>
      <c r="D488" s="58"/>
      <c r="E488" s="58"/>
      <c r="F488" s="58"/>
      <c r="G488" s="59" t="s">
        <v>275</v>
      </c>
    </row>
    <row r="489">
      <c r="A489" s="57"/>
      <c r="D489" s="58"/>
      <c r="E489" s="58"/>
      <c r="F489" s="58"/>
      <c r="G489" s="59" t="s">
        <v>275</v>
      </c>
    </row>
    <row r="490">
      <c r="A490" s="57"/>
      <c r="D490" s="58"/>
      <c r="E490" s="58"/>
      <c r="F490" s="58"/>
      <c r="G490" s="59" t="s">
        <v>275</v>
      </c>
    </row>
    <row r="491">
      <c r="A491" s="57"/>
      <c r="D491" s="58"/>
      <c r="E491" s="58"/>
      <c r="F491" s="58"/>
      <c r="G491" s="59" t="s">
        <v>275</v>
      </c>
    </row>
    <row r="492">
      <c r="A492" s="57"/>
      <c r="D492" s="58"/>
      <c r="E492" s="58"/>
      <c r="F492" s="58"/>
      <c r="G492" s="59" t="s">
        <v>275</v>
      </c>
    </row>
    <row r="493">
      <c r="A493" s="57"/>
      <c r="D493" s="58"/>
      <c r="E493" s="58"/>
      <c r="F493" s="58"/>
      <c r="G493" s="59" t="s">
        <v>275</v>
      </c>
    </row>
    <row r="494">
      <c r="A494" s="57"/>
      <c r="D494" s="58"/>
      <c r="E494" s="58"/>
      <c r="F494" s="58"/>
      <c r="G494" s="59" t="s">
        <v>275</v>
      </c>
    </row>
    <row r="495">
      <c r="A495" s="57"/>
      <c r="D495" s="58"/>
      <c r="E495" s="58"/>
      <c r="F495" s="58"/>
      <c r="G495" s="59" t="s">
        <v>275</v>
      </c>
    </row>
    <row r="496">
      <c r="A496" s="57"/>
      <c r="D496" s="58"/>
      <c r="E496" s="58"/>
      <c r="F496" s="58"/>
      <c r="G496" s="59" t="s">
        <v>275</v>
      </c>
    </row>
    <row r="497">
      <c r="A497" s="57"/>
      <c r="D497" s="58"/>
      <c r="E497" s="58"/>
      <c r="F497" s="58"/>
      <c r="G497" s="59" t="s">
        <v>275</v>
      </c>
    </row>
    <row r="498">
      <c r="A498" s="57"/>
      <c r="D498" s="58"/>
      <c r="E498" s="58"/>
      <c r="F498" s="58"/>
      <c r="G498" s="59" t="s">
        <v>275</v>
      </c>
    </row>
    <row r="499">
      <c r="A499" s="57"/>
      <c r="D499" s="58"/>
      <c r="E499" s="58"/>
      <c r="F499" s="58"/>
      <c r="G499" s="59" t="s">
        <v>275</v>
      </c>
    </row>
    <row r="500">
      <c r="A500" s="57"/>
      <c r="D500" s="58"/>
      <c r="E500" s="58"/>
      <c r="F500" s="58"/>
      <c r="G500" s="59" t="s">
        <v>275</v>
      </c>
    </row>
    <row r="501">
      <c r="A501" s="57"/>
      <c r="D501" s="58"/>
      <c r="E501" s="58"/>
      <c r="F501" s="58"/>
      <c r="G501" s="59" t="s">
        <v>275</v>
      </c>
    </row>
    <row r="502">
      <c r="A502" s="57"/>
      <c r="D502" s="58"/>
      <c r="E502" s="58"/>
      <c r="F502" s="58"/>
      <c r="G502" s="59" t="s">
        <v>275</v>
      </c>
    </row>
    <row r="503">
      <c r="A503" s="57"/>
      <c r="D503" s="58"/>
      <c r="E503" s="58"/>
      <c r="F503" s="58"/>
      <c r="G503" s="59" t="s">
        <v>275</v>
      </c>
    </row>
    <row r="504">
      <c r="A504" s="57"/>
      <c r="D504" s="58"/>
      <c r="E504" s="58"/>
      <c r="F504" s="58"/>
      <c r="G504" s="59" t="s">
        <v>275</v>
      </c>
    </row>
    <row r="505">
      <c r="A505" s="57"/>
      <c r="D505" s="58"/>
      <c r="E505" s="58"/>
      <c r="F505" s="58"/>
      <c r="G505" s="59" t="s">
        <v>275</v>
      </c>
    </row>
    <row r="506">
      <c r="A506" s="57"/>
      <c r="D506" s="58"/>
      <c r="E506" s="58"/>
      <c r="F506" s="58"/>
      <c r="G506" s="59" t="s">
        <v>275</v>
      </c>
    </row>
    <row r="507">
      <c r="A507" s="57"/>
      <c r="D507" s="58"/>
      <c r="E507" s="58"/>
      <c r="F507" s="58"/>
      <c r="G507" s="59" t="s">
        <v>275</v>
      </c>
    </row>
    <row r="508">
      <c r="A508" s="57"/>
      <c r="D508" s="58"/>
      <c r="E508" s="58"/>
      <c r="F508" s="58"/>
      <c r="G508" s="59" t="s">
        <v>275</v>
      </c>
    </row>
    <row r="509">
      <c r="A509" s="57"/>
      <c r="D509" s="58"/>
      <c r="E509" s="58"/>
      <c r="F509" s="58"/>
      <c r="G509" s="59" t="s">
        <v>275</v>
      </c>
    </row>
    <row r="510">
      <c r="A510" s="57"/>
      <c r="D510" s="58"/>
      <c r="E510" s="58"/>
      <c r="F510" s="58"/>
      <c r="G510" s="59" t="s">
        <v>275</v>
      </c>
    </row>
    <row r="511">
      <c r="A511" s="57"/>
      <c r="D511" s="58"/>
      <c r="E511" s="58"/>
      <c r="F511" s="58"/>
      <c r="G511" s="59" t="s">
        <v>275</v>
      </c>
    </row>
    <row r="512">
      <c r="A512" s="57"/>
      <c r="D512" s="58"/>
      <c r="E512" s="58"/>
      <c r="F512" s="58"/>
      <c r="G512" s="59" t="s">
        <v>275</v>
      </c>
    </row>
    <row r="513">
      <c r="A513" s="57"/>
      <c r="D513" s="58"/>
      <c r="E513" s="58"/>
      <c r="F513" s="58"/>
      <c r="G513" s="59" t="s">
        <v>275</v>
      </c>
    </row>
    <row r="514">
      <c r="A514" s="57"/>
      <c r="D514" s="58"/>
      <c r="E514" s="58"/>
      <c r="F514" s="58"/>
      <c r="G514" s="59" t="s">
        <v>275</v>
      </c>
    </row>
    <row r="515">
      <c r="A515" s="57"/>
      <c r="D515" s="58"/>
      <c r="E515" s="58"/>
      <c r="F515" s="58"/>
      <c r="G515" s="59" t="s">
        <v>275</v>
      </c>
    </row>
    <row r="516">
      <c r="A516" s="57"/>
      <c r="D516" s="58"/>
      <c r="E516" s="58"/>
      <c r="F516" s="58"/>
      <c r="G516" s="59" t="s">
        <v>275</v>
      </c>
    </row>
    <row r="517">
      <c r="A517" s="57"/>
      <c r="D517" s="58"/>
      <c r="E517" s="58"/>
      <c r="F517" s="58"/>
      <c r="G517" s="59" t="s">
        <v>275</v>
      </c>
    </row>
    <row r="518">
      <c r="A518" s="57"/>
      <c r="D518" s="58"/>
      <c r="E518" s="58"/>
      <c r="F518" s="58"/>
      <c r="G518" s="59" t="s">
        <v>275</v>
      </c>
    </row>
    <row r="519">
      <c r="A519" s="57"/>
      <c r="D519" s="58"/>
      <c r="E519" s="58"/>
      <c r="F519" s="58"/>
      <c r="G519" s="59" t="s">
        <v>275</v>
      </c>
    </row>
    <row r="520">
      <c r="A520" s="57"/>
      <c r="D520" s="58"/>
      <c r="E520" s="58"/>
      <c r="F520" s="58"/>
      <c r="G520" s="59" t="s">
        <v>275</v>
      </c>
    </row>
    <row r="521">
      <c r="A521" s="57"/>
      <c r="D521" s="58"/>
      <c r="E521" s="58"/>
      <c r="F521" s="58"/>
      <c r="G521" s="59" t="s">
        <v>275</v>
      </c>
    </row>
    <row r="522">
      <c r="A522" s="57"/>
      <c r="D522" s="58"/>
      <c r="E522" s="58"/>
      <c r="F522" s="58"/>
      <c r="G522" s="59" t="s">
        <v>275</v>
      </c>
    </row>
    <row r="523">
      <c r="A523" s="57"/>
      <c r="D523" s="58"/>
      <c r="E523" s="58"/>
      <c r="F523" s="58"/>
      <c r="G523" s="59" t="s">
        <v>275</v>
      </c>
    </row>
    <row r="524">
      <c r="A524" s="57"/>
      <c r="D524" s="58"/>
      <c r="E524" s="58"/>
      <c r="F524" s="58"/>
      <c r="G524" s="59" t="s">
        <v>275</v>
      </c>
    </row>
    <row r="525">
      <c r="A525" s="57"/>
      <c r="D525" s="58"/>
      <c r="E525" s="58"/>
      <c r="F525" s="58"/>
      <c r="G525" s="59" t="s">
        <v>275</v>
      </c>
    </row>
    <row r="526">
      <c r="A526" s="57"/>
      <c r="D526" s="58"/>
      <c r="E526" s="58"/>
      <c r="F526" s="58"/>
      <c r="G526" s="59" t="s">
        <v>275</v>
      </c>
    </row>
    <row r="527">
      <c r="A527" s="57"/>
      <c r="D527" s="58"/>
      <c r="E527" s="58"/>
      <c r="F527" s="58"/>
      <c r="G527" s="59" t="s">
        <v>275</v>
      </c>
    </row>
    <row r="528">
      <c r="A528" s="57"/>
      <c r="D528" s="58"/>
      <c r="E528" s="58"/>
      <c r="F528" s="58"/>
      <c r="G528" s="59" t="s">
        <v>275</v>
      </c>
    </row>
    <row r="529">
      <c r="A529" s="57"/>
      <c r="D529" s="58"/>
      <c r="E529" s="58"/>
      <c r="F529" s="58"/>
      <c r="G529" s="59" t="s">
        <v>275</v>
      </c>
    </row>
    <row r="530">
      <c r="A530" s="57"/>
      <c r="D530" s="58"/>
      <c r="E530" s="58"/>
      <c r="F530" s="58"/>
      <c r="G530" s="59" t="s">
        <v>275</v>
      </c>
    </row>
    <row r="531">
      <c r="A531" s="57"/>
      <c r="D531" s="58"/>
      <c r="E531" s="58"/>
      <c r="F531" s="58"/>
      <c r="G531" s="59" t="s">
        <v>275</v>
      </c>
    </row>
    <row r="532">
      <c r="A532" s="57"/>
      <c r="D532" s="58"/>
      <c r="E532" s="58"/>
      <c r="F532" s="58"/>
      <c r="G532" s="59" t="s">
        <v>275</v>
      </c>
    </row>
    <row r="533">
      <c r="A533" s="57"/>
      <c r="D533" s="58"/>
      <c r="E533" s="58"/>
      <c r="F533" s="58"/>
      <c r="G533" s="59" t="s">
        <v>275</v>
      </c>
    </row>
    <row r="534">
      <c r="A534" s="57"/>
      <c r="D534" s="58"/>
      <c r="E534" s="58"/>
      <c r="F534" s="58"/>
      <c r="G534" s="59" t="s">
        <v>275</v>
      </c>
    </row>
    <row r="535">
      <c r="A535" s="57"/>
      <c r="D535" s="58"/>
      <c r="E535" s="58"/>
      <c r="F535" s="58"/>
      <c r="G535" s="59" t="s">
        <v>275</v>
      </c>
    </row>
    <row r="536">
      <c r="A536" s="57"/>
      <c r="D536" s="58"/>
      <c r="E536" s="58"/>
      <c r="F536" s="58"/>
      <c r="G536" s="59" t="s">
        <v>275</v>
      </c>
    </row>
    <row r="537">
      <c r="A537" s="57"/>
      <c r="D537" s="58"/>
      <c r="E537" s="58"/>
      <c r="F537" s="58"/>
      <c r="G537" s="59" t="s">
        <v>275</v>
      </c>
    </row>
    <row r="538">
      <c r="A538" s="57"/>
      <c r="D538" s="58"/>
      <c r="E538" s="58"/>
      <c r="F538" s="58"/>
      <c r="G538" s="59" t="s">
        <v>275</v>
      </c>
    </row>
    <row r="539">
      <c r="A539" s="57"/>
      <c r="D539" s="58"/>
      <c r="E539" s="58"/>
      <c r="F539" s="58"/>
      <c r="G539" s="59" t="s">
        <v>275</v>
      </c>
    </row>
    <row r="540">
      <c r="A540" s="57"/>
      <c r="D540" s="58"/>
      <c r="E540" s="58"/>
      <c r="F540" s="58"/>
      <c r="G540" s="59" t="s">
        <v>275</v>
      </c>
    </row>
    <row r="541">
      <c r="A541" s="57"/>
      <c r="D541" s="58"/>
      <c r="E541" s="58"/>
      <c r="F541" s="58"/>
      <c r="G541" s="59" t="s">
        <v>275</v>
      </c>
    </row>
    <row r="542">
      <c r="A542" s="57"/>
      <c r="D542" s="58"/>
      <c r="E542" s="58"/>
      <c r="F542" s="58"/>
      <c r="G542" s="59" t="s">
        <v>275</v>
      </c>
    </row>
    <row r="543">
      <c r="A543" s="57"/>
      <c r="D543" s="58"/>
      <c r="E543" s="58"/>
      <c r="F543" s="58"/>
      <c r="G543" s="59" t="s">
        <v>275</v>
      </c>
    </row>
    <row r="544">
      <c r="A544" s="57"/>
      <c r="D544" s="58"/>
      <c r="E544" s="58"/>
      <c r="F544" s="58"/>
      <c r="G544" s="59" t="s">
        <v>275</v>
      </c>
    </row>
    <row r="545">
      <c r="A545" s="57"/>
      <c r="D545" s="58"/>
      <c r="E545" s="58"/>
      <c r="F545" s="58"/>
      <c r="G545" s="59" t="s">
        <v>275</v>
      </c>
    </row>
    <row r="546">
      <c r="A546" s="57"/>
      <c r="D546" s="58"/>
      <c r="E546" s="58"/>
      <c r="F546" s="58"/>
      <c r="G546" s="59" t="s">
        <v>275</v>
      </c>
    </row>
    <row r="547">
      <c r="A547" s="57"/>
      <c r="D547" s="58"/>
      <c r="E547" s="58"/>
      <c r="F547" s="58"/>
      <c r="G547" s="59" t="s">
        <v>275</v>
      </c>
    </row>
    <row r="548">
      <c r="A548" s="57"/>
      <c r="D548" s="58"/>
      <c r="E548" s="58"/>
      <c r="F548" s="58"/>
      <c r="G548" s="59" t="s">
        <v>275</v>
      </c>
    </row>
    <row r="549">
      <c r="A549" s="57"/>
      <c r="D549" s="58"/>
      <c r="E549" s="58"/>
      <c r="F549" s="58"/>
      <c r="G549" s="59" t="s">
        <v>275</v>
      </c>
    </row>
    <row r="550">
      <c r="A550" s="57"/>
      <c r="D550" s="58"/>
      <c r="E550" s="58"/>
      <c r="F550" s="58"/>
      <c r="G550" s="59" t="s">
        <v>275</v>
      </c>
    </row>
    <row r="551">
      <c r="A551" s="57"/>
      <c r="D551" s="58"/>
      <c r="E551" s="58"/>
      <c r="F551" s="58"/>
      <c r="G551" s="59" t="s">
        <v>275</v>
      </c>
    </row>
    <row r="552">
      <c r="A552" s="57"/>
      <c r="D552" s="58"/>
      <c r="E552" s="58"/>
      <c r="F552" s="58"/>
      <c r="G552" s="59" t="s">
        <v>275</v>
      </c>
    </row>
    <row r="553">
      <c r="A553" s="57"/>
      <c r="D553" s="58"/>
      <c r="E553" s="58"/>
      <c r="F553" s="58"/>
      <c r="G553" s="59" t="s">
        <v>275</v>
      </c>
    </row>
    <row r="554">
      <c r="A554" s="57"/>
      <c r="D554" s="58"/>
      <c r="E554" s="58"/>
      <c r="F554" s="58"/>
      <c r="G554" s="59" t="s">
        <v>275</v>
      </c>
    </row>
    <row r="555">
      <c r="A555" s="57"/>
      <c r="D555" s="58"/>
      <c r="E555" s="58"/>
      <c r="F555" s="58"/>
      <c r="G555" s="59" t="s">
        <v>275</v>
      </c>
    </row>
    <row r="556">
      <c r="A556" s="57"/>
      <c r="D556" s="58"/>
      <c r="E556" s="58"/>
      <c r="F556" s="58"/>
      <c r="G556" s="59" t="s">
        <v>275</v>
      </c>
    </row>
    <row r="557">
      <c r="A557" s="57"/>
      <c r="D557" s="58"/>
      <c r="E557" s="58"/>
      <c r="F557" s="58"/>
      <c r="G557" s="59" t="s">
        <v>275</v>
      </c>
    </row>
    <row r="558">
      <c r="A558" s="57"/>
      <c r="D558" s="58"/>
      <c r="E558" s="58"/>
      <c r="F558" s="58"/>
      <c r="G558" s="59" t="s">
        <v>275</v>
      </c>
    </row>
    <row r="559">
      <c r="A559" s="57"/>
      <c r="D559" s="58"/>
      <c r="E559" s="58"/>
      <c r="F559" s="58"/>
      <c r="G559" s="59" t="s">
        <v>275</v>
      </c>
    </row>
    <row r="560">
      <c r="A560" s="57"/>
      <c r="D560" s="58"/>
      <c r="E560" s="58"/>
      <c r="F560" s="58"/>
      <c r="G560" s="59" t="s">
        <v>275</v>
      </c>
    </row>
    <row r="561">
      <c r="A561" s="57"/>
      <c r="D561" s="58"/>
      <c r="E561" s="58"/>
      <c r="F561" s="58"/>
      <c r="G561" s="59" t="s">
        <v>275</v>
      </c>
    </row>
    <row r="562">
      <c r="A562" s="57"/>
      <c r="D562" s="58"/>
      <c r="E562" s="58"/>
      <c r="F562" s="58"/>
      <c r="G562" s="59" t="s">
        <v>275</v>
      </c>
    </row>
    <row r="563">
      <c r="A563" s="57"/>
      <c r="D563" s="58"/>
      <c r="E563" s="58"/>
      <c r="F563" s="58"/>
      <c r="G563" s="59" t="s">
        <v>275</v>
      </c>
    </row>
    <row r="564">
      <c r="A564" s="57"/>
      <c r="D564" s="58"/>
      <c r="E564" s="58"/>
      <c r="F564" s="58"/>
      <c r="G564" s="59" t="s">
        <v>275</v>
      </c>
    </row>
    <row r="565">
      <c r="A565" s="57"/>
      <c r="D565" s="58"/>
      <c r="E565" s="58"/>
      <c r="F565" s="58"/>
      <c r="G565" s="59" t="s">
        <v>275</v>
      </c>
    </row>
    <row r="566">
      <c r="A566" s="57"/>
      <c r="D566" s="58"/>
      <c r="E566" s="58"/>
      <c r="F566" s="58"/>
      <c r="G566" s="59" t="s">
        <v>275</v>
      </c>
    </row>
    <row r="567">
      <c r="A567" s="57"/>
      <c r="D567" s="58"/>
      <c r="E567" s="58"/>
      <c r="F567" s="58"/>
      <c r="G567" s="59" t="s">
        <v>275</v>
      </c>
    </row>
    <row r="568">
      <c r="A568" s="57"/>
      <c r="D568" s="58"/>
      <c r="E568" s="58"/>
      <c r="F568" s="58"/>
      <c r="G568" s="59" t="s">
        <v>275</v>
      </c>
    </row>
    <row r="569">
      <c r="A569" s="57"/>
      <c r="D569" s="58"/>
      <c r="E569" s="58"/>
      <c r="F569" s="58"/>
      <c r="G569" s="59" t="s">
        <v>275</v>
      </c>
    </row>
    <row r="570">
      <c r="A570" s="57"/>
      <c r="D570" s="58"/>
      <c r="E570" s="58"/>
      <c r="F570" s="58"/>
      <c r="G570" s="59" t="s">
        <v>275</v>
      </c>
    </row>
    <row r="571">
      <c r="A571" s="57"/>
      <c r="D571" s="58"/>
      <c r="E571" s="58"/>
      <c r="F571" s="58"/>
      <c r="G571" s="59" t="s">
        <v>275</v>
      </c>
    </row>
    <row r="572">
      <c r="A572" s="57"/>
      <c r="D572" s="58"/>
      <c r="E572" s="58"/>
      <c r="F572" s="58"/>
      <c r="G572" s="59" t="s">
        <v>275</v>
      </c>
    </row>
    <row r="573">
      <c r="A573" s="57"/>
      <c r="D573" s="58"/>
      <c r="E573" s="58"/>
      <c r="F573" s="58"/>
      <c r="G573" s="59" t="s">
        <v>275</v>
      </c>
    </row>
    <row r="574">
      <c r="A574" s="57"/>
      <c r="D574" s="58"/>
      <c r="E574" s="58"/>
      <c r="F574" s="58"/>
      <c r="G574" s="59" t="s">
        <v>275</v>
      </c>
    </row>
    <row r="575">
      <c r="A575" s="57"/>
      <c r="D575" s="58"/>
      <c r="E575" s="58"/>
      <c r="F575" s="58"/>
      <c r="G575" s="59" t="s">
        <v>275</v>
      </c>
    </row>
    <row r="576">
      <c r="A576" s="57"/>
      <c r="D576" s="58"/>
      <c r="E576" s="58"/>
      <c r="F576" s="58"/>
      <c r="G576" s="59" t="s">
        <v>275</v>
      </c>
    </row>
    <row r="577">
      <c r="A577" s="57"/>
      <c r="D577" s="58"/>
      <c r="E577" s="58"/>
      <c r="F577" s="58"/>
      <c r="G577" s="59" t="s">
        <v>275</v>
      </c>
    </row>
    <row r="578">
      <c r="A578" s="57"/>
      <c r="D578" s="58"/>
      <c r="E578" s="58"/>
      <c r="F578" s="58"/>
      <c r="G578" s="59" t="s">
        <v>275</v>
      </c>
    </row>
    <row r="579">
      <c r="A579" s="57"/>
      <c r="D579" s="58"/>
      <c r="E579" s="58"/>
      <c r="F579" s="58"/>
      <c r="G579" s="59" t="s">
        <v>275</v>
      </c>
    </row>
    <row r="580">
      <c r="A580" s="57"/>
      <c r="D580" s="58"/>
      <c r="E580" s="58"/>
      <c r="F580" s="58"/>
      <c r="G580" s="59" t="s">
        <v>275</v>
      </c>
    </row>
    <row r="581">
      <c r="A581" s="57"/>
      <c r="D581" s="58"/>
      <c r="E581" s="58"/>
      <c r="F581" s="58"/>
      <c r="G581" s="59" t="s">
        <v>275</v>
      </c>
    </row>
    <row r="582">
      <c r="A582" s="57"/>
      <c r="D582" s="58"/>
      <c r="E582" s="58"/>
      <c r="F582" s="58"/>
      <c r="G582" s="59" t="s">
        <v>275</v>
      </c>
    </row>
    <row r="583">
      <c r="A583" s="57"/>
      <c r="D583" s="58"/>
      <c r="E583" s="58"/>
      <c r="F583" s="58"/>
      <c r="G583" s="59" t="s">
        <v>275</v>
      </c>
    </row>
    <row r="584">
      <c r="A584" s="57"/>
      <c r="D584" s="58"/>
      <c r="E584" s="58"/>
      <c r="F584" s="58"/>
      <c r="G584" s="59" t="s">
        <v>275</v>
      </c>
    </row>
    <row r="585">
      <c r="A585" s="57"/>
      <c r="D585" s="58"/>
      <c r="E585" s="58"/>
      <c r="F585" s="58"/>
      <c r="G585" s="59" t="s">
        <v>275</v>
      </c>
    </row>
    <row r="586">
      <c r="A586" s="57"/>
      <c r="D586" s="58"/>
      <c r="E586" s="58"/>
      <c r="F586" s="58"/>
      <c r="G586" s="59" t="s">
        <v>275</v>
      </c>
    </row>
    <row r="587">
      <c r="A587" s="57"/>
      <c r="D587" s="58"/>
      <c r="E587" s="58"/>
      <c r="F587" s="58"/>
      <c r="G587" s="59" t="s">
        <v>275</v>
      </c>
    </row>
    <row r="588">
      <c r="A588" s="57"/>
      <c r="D588" s="58"/>
      <c r="E588" s="58"/>
      <c r="F588" s="58"/>
      <c r="G588" s="59" t="s">
        <v>275</v>
      </c>
    </row>
    <row r="589">
      <c r="A589" s="57"/>
      <c r="D589" s="58"/>
      <c r="E589" s="58"/>
      <c r="F589" s="58"/>
      <c r="G589" s="59" t="s">
        <v>275</v>
      </c>
    </row>
    <row r="590">
      <c r="A590" s="57"/>
      <c r="D590" s="58"/>
      <c r="E590" s="58"/>
      <c r="F590" s="58"/>
      <c r="G590" s="59" t="s">
        <v>275</v>
      </c>
    </row>
    <row r="591">
      <c r="A591" s="57"/>
      <c r="D591" s="58"/>
      <c r="E591" s="58"/>
      <c r="F591" s="58"/>
      <c r="G591" s="59" t="s">
        <v>275</v>
      </c>
    </row>
    <row r="592">
      <c r="A592" s="57"/>
      <c r="D592" s="58"/>
      <c r="E592" s="58"/>
      <c r="F592" s="58"/>
      <c r="G592" s="59" t="s">
        <v>275</v>
      </c>
    </row>
    <row r="593">
      <c r="A593" s="57"/>
      <c r="D593" s="58"/>
      <c r="E593" s="58"/>
      <c r="F593" s="58"/>
      <c r="G593" s="59" t="s">
        <v>275</v>
      </c>
    </row>
    <row r="594">
      <c r="A594" s="57"/>
      <c r="D594" s="58"/>
      <c r="E594" s="58"/>
      <c r="F594" s="58"/>
      <c r="G594" s="59" t="s">
        <v>275</v>
      </c>
    </row>
    <row r="595">
      <c r="A595" s="57"/>
      <c r="D595" s="58"/>
      <c r="E595" s="58"/>
      <c r="F595" s="58"/>
      <c r="G595" s="59" t="s">
        <v>275</v>
      </c>
    </row>
    <row r="596">
      <c r="A596" s="57"/>
      <c r="D596" s="58"/>
      <c r="E596" s="58"/>
      <c r="F596" s="58"/>
      <c r="G596" s="59" t="s">
        <v>275</v>
      </c>
    </row>
    <row r="597">
      <c r="A597" s="57"/>
      <c r="D597" s="58"/>
      <c r="E597" s="58"/>
      <c r="F597" s="58"/>
      <c r="G597" s="59" t="s">
        <v>275</v>
      </c>
    </row>
    <row r="598">
      <c r="A598" s="57"/>
      <c r="D598" s="58"/>
      <c r="E598" s="58"/>
      <c r="F598" s="58"/>
      <c r="G598" s="59" t="s">
        <v>275</v>
      </c>
    </row>
    <row r="599">
      <c r="A599" s="57"/>
      <c r="D599" s="58"/>
      <c r="E599" s="58"/>
      <c r="F599" s="58"/>
      <c r="G599" s="59" t="s">
        <v>275</v>
      </c>
    </row>
    <row r="600">
      <c r="A600" s="57"/>
      <c r="D600" s="58"/>
      <c r="E600" s="58"/>
      <c r="F600" s="58"/>
      <c r="G600" s="59" t="s">
        <v>275</v>
      </c>
    </row>
    <row r="601">
      <c r="A601" s="57"/>
      <c r="D601" s="58"/>
      <c r="E601" s="58"/>
      <c r="F601" s="58"/>
      <c r="G601" s="59" t="s">
        <v>275</v>
      </c>
    </row>
    <row r="602">
      <c r="A602" s="57"/>
      <c r="D602" s="58"/>
      <c r="E602" s="58"/>
      <c r="F602" s="58"/>
      <c r="G602" s="59" t="s">
        <v>275</v>
      </c>
    </row>
    <row r="603">
      <c r="A603" s="57"/>
      <c r="D603" s="58"/>
      <c r="E603" s="58"/>
      <c r="F603" s="58"/>
      <c r="G603" s="59" t="s">
        <v>275</v>
      </c>
    </row>
    <row r="604">
      <c r="A604" s="57"/>
      <c r="D604" s="58"/>
      <c r="E604" s="58"/>
      <c r="F604" s="58"/>
      <c r="G604" s="59" t="s">
        <v>275</v>
      </c>
    </row>
    <row r="605">
      <c r="A605" s="57"/>
      <c r="D605" s="58"/>
      <c r="E605" s="58"/>
      <c r="F605" s="58"/>
      <c r="G605" s="59" t="s">
        <v>275</v>
      </c>
    </row>
    <row r="606">
      <c r="A606" s="57"/>
      <c r="D606" s="58"/>
      <c r="E606" s="58"/>
      <c r="F606" s="58"/>
      <c r="G606" s="59" t="s">
        <v>275</v>
      </c>
    </row>
    <row r="607">
      <c r="A607" s="57"/>
      <c r="D607" s="58"/>
      <c r="E607" s="58"/>
      <c r="F607" s="58"/>
      <c r="G607" s="59" t="s">
        <v>275</v>
      </c>
    </row>
    <row r="608">
      <c r="A608" s="57"/>
      <c r="D608" s="58"/>
      <c r="E608" s="58"/>
      <c r="F608" s="58"/>
      <c r="G608" s="59" t="s">
        <v>275</v>
      </c>
    </row>
    <row r="609">
      <c r="A609" s="57"/>
      <c r="D609" s="58"/>
      <c r="E609" s="58"/>
      <c r="F609" s="58"/>
      <c r="G609" s="59" t="s">
        <v>275</v>
      </c>
    </row>
    <row r="610">
      <c r="A610" s="57"/>
      <c r="D610" s="58"/>
      <c r="E610" s="58"/>
      <c r="F610" s="58"/>
      <c r="G610" s="59" t="s">
        <v>275</v>
      </c>
    </row>
    <row r="611">
      <c r="A611" s="57"/>
      <c r="D611" s="58"/>
      <c r="E611" s="58"/>
      <c r="F611" s="58"/>
      <c r="G611" s="59" t="s">
        <v>275</v>
      </c>
    </row>
    <row r="612">
      <c r="A612" s="57"/>
      <c r="D612" s="58"/>
      <c r="E612" s="58"/>
      <c r="F612" s="58"/>
      <c r="G612" s="59" t="s">
        <v>275</v>
      </c>
    </row>
    <row r="613">
      <c r="A613" s="57"/>
      <c r="D613" s="58"/>
      <c r="E613" s="58"/>
      <c r="F613" s="58"/>
      <c r="G613" s="59" t="s">
        <v>275</v>
      </c>
    </row>
    <row r="614">
      <c r="A614" s="57"/>
      <c r="D614" s="58"/>
      <c r="E614" s="58"/>
      <c r="F614" s="58"/>
      <c r="G614" s="59" t="s">
        <v>275</v>
      </c>
    </row>
    <row r="615">
      <c r="A615" s="57"/>
      <c r="D615" s="58"/>
      <c r="E615" s="58"/>
      <c r="F615" s="58"/>
      <c r="G615" s="59" t="s">
        <v>275</v>
      </c>
    </row>
    <row r="616">
      <c r="A616" s="57"/>
      <c r="D616" s="58"/>
      <c r="E616" s="58"/>
      <c r="F616" s="58"/>
      <c r="G616" s="59" t="s">
        <v>275</v>
      </c>
    </row>
    <row r="617">
      <c r="A617" s="57"/>
      <c r="D617" s="58"/>
      <c r="E617" s="58"/>
      <c r="F617" s="58"/>
      <c r="G617" s="59" t="s">
        <v>275</v>
      </c>
    </row>
    <row r="618">
      <c r="A618" s="57"/>
      <c r="D618" s="58"/>
      <c r="E618" s="58"/>
      <c r="F618" s="58"/>
      <c r="G618" s="59" t="s">
        <v>275</v>
      </c>
    </row>
    <row r="619">
      <c r="A619" s="57"/>
      <c r="D619" s="58"/>
      <c r="E619" s="58"/>
      <c r="F619" s="58"/>
      <c r="G619" s="59" t="s">
        <v>275</v>
      </c>
    </row>
    <row r="620">
      <c r="A620" s="57"/>
      <c r="D620" s="58"/>
      <c r="E620" s="58"/>
      <c r="F620" s="58"/>
      <c r="G620" s="59" t="s">
        <v>275</v>
      </c>
    </row>
    <row r="621">
      <c r="A621" s="57"/>
      <c r="D621" s="58"/>
      <c r="E621" s="58"/>
      <c r="F621" s="58"/>
      <c r="G621" s="59" t="s">
        <v>275</v>
      </c>
    </row>
    <row r="622">
      <c r="A622" s="57"/>
      <c r="D622" s="58"/>
      <c r="E622" s="58"/>
      <c r="F622" s="58"/>
      <c r="G622" s="59" t="s">
        <v>275</v>
      </c>
    </row>
    <row r="623">
      <c r="A623" s="57"/>
      <c r="D623" s="58"/>
      <c r="E623" s="58"/>
      <c r="F623" s="58"/>
      <c r="G623" s="59" t="s">
        <v>275</v>
      </c>
    </row>
    <row r="624">
      <c r="A624" s="57"/>
      <c r="D624" s="58"/>
      <c r="E624" s="58"/>
      <c r="F624" s="58"/>
      <c r="G624" s="59" t="s">
        <v>275</v>
      </c>
    </row>
    <row r="625">
      <c r="A625" s="57"/>
      <c r="D625" s="58"/>
      <c r="E625" s="58"/>
      <c r="F625" s="58"/>
      <c r="G625" s="59" t="s">
        <v>275</v>
      </c>
    </row>
    <row r="626">
      <c r="A626" s="57"/>
      <c r="D626" s="58"/>
      <c r="E626" s="58"/>
      <c r="F626" s="58"/>
      <c r="G626" s="59" t="s">
        <v>275</v>
      </c>
    </row>
    <row r="627">
      <c r="A627" s="57"/>
      <c r="D627" s="58"/>
      <c r="E627" s="58"/>
      <c r="F627" s="58"/>
      <c r="G627" s="59" t="s">
        <v>275</v>
      </c>
    </row>
    <row r="628">
      <c r="A628" s="57"/>
      <c r="D628" s="58"/>
      <c r="E628" s="58"/>
      <c r="F628" s="58"/>
      <c r="G628" s="59" t="s">
        <v>275</v>
      </c>
    </row>
    <row r="629">
      <c r="A629" s="57"/>
      <c r="D629" s="58"/>
      <c r="E629" s="58"/>
      <c r="F629" s="58"/>
      <c r="G629" s="59" t="s">
        <v>275</v>
      </c>
    </row>
    <row r="630">
      <c r="A630" s="57"/>
      <c r="D630" s="58"/>
      <c r="E630" s="58"/>
      <c r="F630" s="58"/>
      <c r="G630" s="59" t="s">
        <v>275</v>
      </c>
    </row>
    <row r="631">
      <c r="A631" s="57"/>
      <c r="D631" s="58"/>
      <c r="E631" s="58"/>
      <c r="F631" s="58"/>
      <c r="G631" s="59" t="s">
        <v>275</v>
      </c>
    </row>
    <row r="632">
      <c r="A632" s="57"/>
      <c r="D632" s="58"/>
      <c r="E632" s="58"/>
      <c r="F632" s="58"/>
      <c r="G632" s="59" t="s">
        <v>275</v>
      </c>
    </row>
    <row r="633">
      <c r="A633" s="57"/>
      <c r="D633" s="58"/>
      <c r="E633" s="58"/>
      <c r="F633" s="58"/>
      <c r="G633" s="59" t="s">
        <v>275</v>
      </c>
    </row>
    <row r="634">
      <c r="A634" s="57"/>
      <c r="D634" s="58"/>
      <c r="E634" s="58"/>
      <c r="F634" s="58"/>
      <c r="G634" s="59" t="s">
        <v>275</v>
      </c>
    </row>
    <row r="635">
      <c r="A635" s="57"/>
      <c r="D635" s="58"/>
      <c r="E635" s="58"/>
      <c r="F635" s="58"/>
      <c r="G635" s="59" t="s">
        <v>275</v>
      </c>
    </row>
    <row r="636">
      <c r="A636" s="57"/>
      <c r="D636" s="58"/>
      <c r="E636" s="58"/>
      <c r="F636" s="58"/>
      <c r="G636" s="59" t="s">
        <v>275</v>
      </c>
    </row>
    <row r="637">
      <c r="A637" s="57"/>
      <c r="D637" s="58"/>
      <c r="E637" s="58"/>
      <c r="F637" s="58"/>
      <c r="G637" s="59" t="s">
        <v>275</v>
      </c>
    </row>
    <row r="638">
      <c r="A638" s="57"/>
      <c r="D638" s="58"/>
      <c r="E638" s="58"/>
      <c r="F638" s="58"/>
      <c r="G638" s="59" t="s">
        <v>275</v>
      </c>
    </row>
    <row r="639">
      <c r="A639" s="57"/>
      <c r="D639" s="58"/>
      <c r="E639" s="58"/>
      <c r="F639" s="58"/>
      <c r="G639" s="59" t="s">
        <v>275</v>
      </c>
    </row>
    <row r="640">
      <c r="A640" s="57"/>
      <c r="D640" s="58"/>
      <c r="E640" s="58"/>
      <c r="F640" s="58"/>
      <c r="G640" s="59" t="s">
        <v>275</v>
      </c>
    </row>
    <row r="641">
      <c r="A641" s="57"/>
      <c r="D641" s="58"/>
      <c r="E641" s="58"/>
      <c r="F641" s="58"/>
      <c r="G641" s="59" t="s">
        <v>275</v>
      </c>
    </row>
    <row r="642">
      <c r="A642" s="57"/>
      <c r="D642" s="58"/>
      <c r="E642" s="58"/>
      <c r="F642" s="58"/>
      <c r="G642" s="59" t="s">
        <v>275</v>
      </c>
    </row>
    <row r="643">
      <c r="A643" s="57"/>
      <c r="D643" s="58"/>
      <c r="E643" s="58"/>
      <c r="F643" s="58"/>
      <c r="G643" s="59" t="s">
        <v>275</v>
      </c>
    </row>
    <row r="644">
      <c r="A644" s="57"/>
      <c r="D644" s="58"/>
      <c r="E644" s="58"/>
      <c r="F644" s="58"/>
      <c r="G644" s="59" t="s">
        <v>275</v>
      </c>
    </row>
    <row r="645">
      <c r="A645" s="57"/>
      <c r="D645" s="58"/>
      <c r="E645" s="58"/>
      <c r="F645" s="58"/>
      <c r="G645" s="59" t="s">
        <v>275</v>
      </c>
    </row>
    <row r="646">
      <c r="A646" s="57"/>
      <c r="D646" s="58"/>
      <c r="E646" s="58"/>
      <c r="F646" s="58"/>
      <c r="G646" s="59" t="s">
        <v>275</v>
      </c>
    </row>
    <row r="647">
      <c r="A647" s="57"/>
      <c r="D647" s="58"/>
      <c r="E647" s="58"/>
      <c r="F647" s="58"/>
      <c r="G647" s="59" t="s">
        <v>275</v>
      </c>
    </row>
    <row r="648">
      <c r="A648" s="57"/>
      <c r="D648" s="58"/>
      <c r="E648" s="58"/>
      <c r="F648" s="58"/>
      <c r="G648" s="59" t="s">
        <v>275</v>
      </c>
    </row>
    <row r="649">
      <c r="A649" s="57"/>
      <c r="D649" s="58"/>
      <c r="E649" s="58"/>
      <c r="F649" s="58"/>
      <c r="G649" s="59" t="s">
        <v>275</v>
      </c>
    </row>
    <row r="650">
      <c r="A650" s="57"/>
      <c r="D650" s="58"/>
      <c r="E650" s="58"/>
      <c r="F650" s="58"/>
      <c r="G650" s="59" t="s">
        <v>275</v>
      </c>
    </row>
    <row r="651">
      <c r="A651" s="57"/>
      <c r="D651" s="58"/>
      <c r="E651" s="58"/>
      <c r="F651" s="58"/>
      <c r="G651" s="59" t="s">
        <v>275</v>
      </c>
    </row>
    <row r="652">
      <c r="A652" s="57"/>
      <c r="D652" s="58"/>
      <c r="E652" s="58"/>
      <c r="F652" s="58"/>
      <c r="G652" s="59" t="s">
        <v>275</v>
      </c>
    </row>
    <row r="653">
      <c r="A653" s="57"/>
      <c r="D653" s="58"/>
      <c r="E653" s="58"/>
      <c r="F653" s="58"/>
      <c r="G653" s="59" t="s">
        <v>275</v>
      </c>
    </row>
    <row r="654">
      <c r="A654" s="57"/>
      <c r="D654" s="58"/>
      <c r="E654" s="58"/>
      <c r="F654" s="58"/>
      <c r="G654" s="59" t="s">
        <v>275</v>
      </c>
    </row>
    <row r="655">
      <c r="A655" s="57"/>
      <c r="D655" s="58"/>
      <c r="E655" s="58"/>
      <c r="F655" s="58"/>
      <c r="G655" s="59" t="s">
        <v>275</v>
      </c>
    </row>
    <row r="656">
      <c r="A656" s="57"/>
      <c r="D656" s="58"/>
      <c r="E656" s="58"/>
      <c r="F656" s="58"/>
      <c r="G656" s="59" t="s">
        <v>275</v>
      </c>
    </row>
    <row r="657">
      <c r="A657" s="57"/>
      <c r="D657" s="58"/>
      <c r="E657" s="58"/>
      <c r="F657" s="58"/>
      <c r="G657" s="59" t="s">
        <v>275</v>
      </c>
    </row>
    <row r="658">
      <c r="A658" s="57"/>
      <c r="D658" s="58"/>
      <c r="E658" s="58"/>
      <c r="F658" s="58"/>
      <c r="G658" s="59" t="s">
        <v>275</v>
      </c>
    </row>
    <row r="659">
      <c r="A659" s="57"/>
      <c r="D659" s="58"/>
      <c r="E659" s="58"/>
      <c r="F659" s="58"/>
      <c r="G659" s="59" t="s">
        <v>275</v>
      </c>
    </row>
    <row r="660">
      <c r="A660" s="57"/>
      <c r="D660" s="58"/>
      <c r="E660" s="58"/>
      <c r="F660" s="58"/>
      <c r="G660" s="59" t="s">
        <v>275</v>
      </c>
    </row>
    <row r="661">
      <c r="A661" s="57"/>
      <c r="D661" s="58"/>
      <c r="E661" s="58"/>
      <c r="F661" s="58"/>
      <c r="G661" s="59" t="s">
        <v>275</v>
      </c>
    </row>
    <row r="662">
      <c r="A662" s="57"/>
      <c r="D662" s="58"/>
      <c r="E662" s="58"/>
      <c r="F662" s="58"/>
      <c r="G662" s="59" t="s">
        <v>275</v>
      </c>
    </row>
    <row r="663">
      <c r="A663" s="57"/>
      <c r="D663" s="58"/>
      <c r="E663" s="58"/>
      <c r="F663" s="58"/>
      <c r="G663" s="59" t="s">
        <v>275</v>
      </c>
    </row>
    <row r="664">
      <c r="A664" s="57"/>
      <c r="D664" s="58"/>
      <c r="E664" s="58"/>
      <c r="F664" s="58"/>
      <c r="G664" s="59" t="s">
        <v>275</v>
      </c>
    </row>
    <row r="665">
      <c r="A665" s="57"/>
      <c r="D665" s="58"/>
      <c r="E665" s="58"/>
      <c r="F665" s="58"/>
      <c r="G665" s="59" t="s">
        <v>275</v>
      </c>
    </row>
    <row r="666">
      <c r="A666" s="57"/>
      <c r="D666" s="58"/>
      <c r="E666" s="58"/>
      <c r="F666" s="58"/>
      <c r="G666" s="59" t="s">
        <v>275</v>
      </c>
    </row>
    <row r="667">
      <c r="A667" s="57"/>
      <c r="D667" s="58"/>
      <c r="E667" s="58"/>
      <c r="F667" s="58"/>
      <c r="G667" s="59" t="s">
        <v>275</v>
      </c>
    </row>
    <row r="668">
      <c r="A668" s="57"/>
      <c r="D668" s="58"/>
      <c r="E668" s="58"/>
      <c r="F668" s="58"/>
      <c r="G668" s="59" t="s">
        <v>275</v>
      </c>
    </row>
    <row r="669">
      <c r="A669" s="57"/>
      <c r="D669" s="58"/>
      <c r="E669" s="58"/>
      <c r="F669" s="58"/>
      <c r="G669" s="59" t="s">
        <v>275</v>
      </c>
    </row>
    <row r="670">
      <c r="A670" s="57"/>
      <c r="D670" s="58"/>
      <c r="E670" s="58"/>
      <c r="F670" s="58"/>
      <c r="G670" s="59" t="s">
        <v>275</v>
      </c>
    </row>
    <row r="671">
      <c r="A671" s="57"/>
      <c r="D671" s="58"/>
      <c r="E671" s="58"/>
      <c r="F671" s="58"/>
      <c r="G671" s="59" t="s">
        <v>275</v>
      </c>
    </row>
    <row r="672">
      <c r="A672" s="57"/>
      <c r="D672" s="58"/>
      <c r="E672" s="58"/>
      <c r="F672" s="58"/>
      <c r="G672" s="59" t="s">
        <v>275</v>
      </c>
    </row>
    <row r="673">
      <c r="A673" s="57"/>
      <c r="D673" s="58"/>
      <c r="E673" s="58"/>
      <c r="F673" s="58"/>
      <c r="G673" s="59" t="s">
        <v>275</v>
      </c>
    </row>
    <row r="674">
      <c r="A674" s="57"/>
      <c r="D674" s="58"/>
      <c r="E674" s="58"/>
      <c r="F674" s="58"/>
      <c r="G674" s="59" t="s">
        <v>275</v>
      </c>
    </row>
    <row r="675">
      <c r="A675" s="57"/>
      <c r="D675" s="58"/>
      <c r="E675" s="58"/>
      <c r="F675" s="58"/>
      <c r="G675" s="59" t="s">
        <v>275</v>
      </c>
    </row>
    <row r="676">
      <c r="A676" s="57"/>
      <c r="D676" s="58"/>
      <c r="E676" s="58"/>
      <c r="F676" s="58"/>
      <c r="G676" s="59" t="s">
        <v>275</v>
      </c>
    </row>
    <row r="677">
      <c r="A677" s="57"/>
      <c r="D677" s="58"/>
      <c r="E677" s="58"/>
      <c r="F677" s="58"/>
      <c r="G677" s="59" t="s">
        <v>275</v>
      </c>
    </row>
    <row r="678">
      <c r="A678" s="57"/>
      <c r="D678" s="58"/>
      <c r="E678" s="58"/>
      <c r="F678" s="58"/>
      <c r="G678" s="59" t="s">
        <v>275</v>
      </c>
    </row>
    <row r="679">
      <c r="A679" s="57"/>
      <c r="D679" s="58"/>
      <c r="E679" s="58"/>
      <c r="F679" s="58"/>
      <c r="G679" s="59" t="s">
        <v>275</v>
      </c>
    </row>
    <row r="680">
      <c r="A680" s="57"/>
      <c r="D680" s="58"/>
      <c r="E680" s="58"/>
      <c r="F680" s="58"/>
      <c r="G680" s="59" t="s">
        <v>275</v>
      </c>
    </row>
    <row r="681">
      <c r="A681" s="57"/>
      <c r="D681" s="58"/>
      <c r="E681" s="58"/>
      <c r="F681" s="58"/>
      <c r="G681" s="59" t="s">
        <v>275</v>
      </c>
    </row>
    <row r="682">
      <c r="A682" s="57"/>
      <c r="D682" s="58"/>
      <c r="E682" s="58"/>
      <c r="F682" s="58"/>
      <c r="G682" s="59" t="s">
        <v>275</v>
      </c>
    </row>
    <row r="683">
      <c r="A683" s="57"/>
      <c r="D683" s="58"/>
      <c r="E683" s="58"/>
      <c r="F683" s="58"/>
      <c r="G683" s="59" t="s">
        <v>275</v>
      </c>
    </row>
    <row r="684">
      <c r="A684" s="57"/>
      <c r="D684" s="58"/>
      <c r="E684" s="58"/>
      <c r="F684" s="58"/>
      <c r="G684" s="59" t="s">
        <v>275</v>
      </c>
    </row>
    <row r="685">
      <c r="A685" s="57"/>
      <c r="D685" s="58"/>
      <c r="E685" s="58"/>
      <c r="F685" s="58"/>
      <c r="G685" s="59" t="s">
        <v>275</v>
      </c>
    </row>
    <row r="686">
      <c r="A686" s="57"/>
      <c r="D686" s="58"/>
      <c r="E686" s="58"/>
      <c r="F686" s="58"/>
      <c r="G686" s="59" t="s">
        <v>275</v>
      </c>
    </row>
    <row r="687">
      <c r="A687" s="57"/>
      <c r="D687" s="58"/>
      <c r="E687" s="58"/>
      <c r="F687" s="58"/>
      <c r="G687" s="59" t="s">
        <v>275</v>
      </c>
    </row>
    <row r="688">
      <c r="A688" s="57"/>
      <c r="D688" s="58"/>
      <c r="E688" s="58"/>
      <c r="F688" s="58"/>
      <c r="G688" s="59" t="s">
        <v>275</v>
      </c>
    </row>
    <row r="689">
      <c r="A689" s="57"/>
      <c r="D689" s="58"/>
      <c r="E689" s="58"/>
      <c r="F689" s="58"/>
      <c r="G689" s="59" t="s">
        <v>275</v>
      </c>
    </row>
    <row r="690">
      <c r="A690" s="57"/>
      <c r="D690" s="58"/>
      <c r="E690" s="58"/>
      <c r="F690" s="58"/>
      <c r="G690" s="59" t="s">
        <v>275</v>
      </c>
    </row>
    <row r="691">
      <c r="A691" s="57"/>
      <c r="D691" s="58"/>
      <c r="E691" s="58"/>
      <c r="F691" s="58"/>
      <c r="G691" s="59" t="s">
        <v>275</v>
      </c>
    </row>
    <row r="692">
      <c r="A692" s="57"/>
      <c r="D692" s="58"/>
      <c r="E692" s="58"/>
      <c r="F692" s="58"/>
      <c r="G692" s="59" t="s">
        <v>275</v>
      </c>
    </row>
    <row r="693">
      <c r="A693" s="57"/>
      <c r="D693" s="58"/>
      <c r="E693" s="58"/>
      <c r="F693" s="58"/>
      <c r="G693" s="59" t="s">
        <v>275</v>
      </c>
    </row>
    <row r="694">
      <c r="A694" s="57"/>
      <c r="D694" s="58"/>
      <c r="E694" s="58"/>
      <c r="F694" s="58"/>
      <c r="G694" s="59" t="s">
        <v>275</v>
      </c>
    </row>
    <row r="695">
      <c r="A695" s="57"/>
      <c r="D695" s="58"/>
      <c r="E695" s="58"/>
      <c r="F695" s="58"/>
      <c r="G695" s="59" t="s">
        <v>275</v>
      </c>
    </row>
    <row r="696">
      <c r="A696" s="57"/>
      <c r="D696" s="58"/>
      <c r="E696" s="58"/>
      <c r="F696" s="58"/>
      <c r="G696" s="59" t="s">
        <v>275</v>
      </c>
    </row>
    <row r="697">
      <c r="A697" s="57"/>
      <c r="D697" s="58"/>
      <c r="E697" s="58"/>
      <c r="F697" s="58"/>
      <c r="G697" s="59" t="s">
        <v>275</v>
      </c>
    </row>
    <row r="698">
      <c r="A698" s="57"/>
      <c r="D698" s="58"/>
      <c r="E698" s="58"/>
      <c r="F698" s="58"/>
      <c r="G698" s="59" t="s">
        <v>275</v>
      </c>
    </row>
    <row r="699">
      <c r="A699" s="57"/>
      <c r="D699" s="58"/>
      <c r="E699" s="58"/>
      <c r="F699" s="58"/>
      <c r="G699" s="59" t="s">
        <v>275</v>
      </c>
    </row>
    <row r="700">
      <c r="A700" s="57"/>
      <c r="D700" s="58"/>
      <c r="E700" s="58"/>
      <c r="F700" s="58"/>
      <c r="G700" s="59" t="s">
        <v>275</v>
      </c>
    </row>
    <row r="701">
      <c r="A701" s="57"/>
      <c r="D701" s="58"/>
      <c r="E701" s="58"/>
      <c r="F701" s="58"/>
      <c r="G701" s="59" t="s">
        <v>275</v>
      </c>
    </row>
    <row r="702">
      <c r="A702" s="57"/>
      <c r="D702" s="58"/>
      <c r="E702" s="58"/>
      <c r="F702" s="58"/>
      <c r="G702" s="59" t="s">
        <v>275</v>
      </c>
    </row>
    <row r="703">
      <c r="A703" s="57"/>
      <c r="D703" s="58"/>
      <c r="E703" s="58"/>
      <c r="F703" s="58"/>
      <c r="G703" s="59" t="s">
        <v>275</v>
      </c>
    </row>
    <row r="704">
      <c r="A704" s="57"/>
      <c r="D704" s="58"/>
      <c r="E704" s="58"/>
      <c r="F704" s="58"/>
      <c r="G704" s="59" t="s">
        <v>275</v>
      </c>
    </row>
    <row r="705">
      <c r="A705" s="57"/>
      <c r="D705" s="58"/>
      <c r="E705" s="58"/>
      <c r="F705" s="58"/>
      <c r="G705" s="59" t="s">
        <v>275</v>
      </c>
    </row>
    <row r="706">
      <c r="A706" s="57"/>
      <c r="D706" s="58"/>
      <c r="E706" s="58"/>
      <c r="F706" s="58"/>
      <c r="G706" s="59" t="s">
        <v>275</v>
      </c>
    </row>
    <row r="707">
      <c r="A707" s="57"/>
      <c r="D707" s="58"/>
      <c r="E707" s="58"/>
      <c r="F707" s="58"/>
      <c r="G707" s="59" t="s">
        <v>275</v>
      </c>
    </row>
    <row r="708">
      <c r="A708" s="57"/>
      <c r="D708" s="58"/>
      <c r="E708" s="58"/>
      <c r="F708" s="58"/>
      <c r="G708" s="59" t="s">
        <v>275</v>
      </c>
    </row>
    <row r="709">
      <c r="A709" s="57"/>
      <c r="D709" s="58"/>
      <c r="E709" s="58"/>
      <c r="F709" s="58"/>
      <c r="G709" s="59" t="s">
        <v>275</v>
      </c>
    </row>
    <row r="710">
      <c r="A710" s="57"/>
      <c r="D710" s="58"/>
      <c r="E710" s="58"/>
      <c r="F710" s="58"/>
      <c r="G710" s="59" t="s">
        <v>275</v>
      </c>
    </row>
    <row r="711">
      <c r="A711" s="57"/>
      <c r="D711" s="58"/>
      <c r="E711" s="58"/>
      <c r="F711" s="58"/>
      <c r="G711" s="59" t="s">
        <v>275</v>
      </c>
    </row>
    <row r="712">
      <c r="A712" s="57"/>
      <c r="D712" s="58"/>
      <c r="E712" s="58"/>
      <c r="F712" s="58"/>
      <c r="G712" s="59" t="s">
        <v>275</v>
      </c>
    </row>
    <row r="713">
      <c r="A713" s="57"/>
      <c r="D713" s="58"/>
      <c r="E713" s="58"/>
      <c r="F713" s="58"/>
      <c r="G713" s="59" t="s">
        <v>275</v>
      </c>
    </row>
    <row r="714">
      <c r="A714" s="57"/>
      <c r="D714" s="58"/>
      <c r="E714" s="58"/>
      <c r="F714" s="58"/>
      <c r="G714" s="59" t="s">
        <v>275</v>
      </c>
    </row>
    <row r="715">
      <c r="A715" s="57"/>
      <c r="D715" s="58"/>
      <c r="E715" s="58"/>
      <c r="F715" s="58"/>
      <c r="G715" s="59" t="s">
        <v>275</v>
      </c>
    </row>
    <row r="716">
      <c r="A716" s="57"/>
      <c r="D716" s="58"/>
      <c r="E716" s="58"/>
      <c r="F716" s="58"/>
      <c r="G716" s="59" t="s">
        <v>275</v>
      </c>
    </row>
    <row r="717">
      <c r="A717" s="57"/>
      <c r="D717" s="58"/>
      <c r="E717" s="58"/>
      <c r="F717" s="58"/>
      <c r="G717" s="59" t="s">
        <v>275</v>
      </c>
    </row>
    <row r="718">
      <c r="A718" s="57"/>
      <c r="D718" s="58"/>
      <c r="E718" s="58"/>
      <c r="F718" s="58"/>
      <c r="G718" s="59" t="s">
        <v>275</v>
      </c>
    </row>
    <row r="719">
      <c r="A719" s="57"/>
      <c r="D719" s="58"/>
      <c r="E719" s="58"/>
      <c r="F719" s="58"/>
      <c r="G719" s="59" t="s">
        <v>275</v>
      </c>
    </row>
    <row r="720">
      <c r="A720" s="57"/>
      <c r="D720" s="58"/>
      <c r="E720" s="58"/>
      <c r="F720" s="58"/>
      <c r="G720" s="59" t="s">
        <v>275</v>
      </c>
    </row>
    <row r="721">
      <c r="A721" s="57"/>
      <c r="D721" s="58"/>
      <c r="E721" s="58"/>
      <c r="F721" s="58"/>
      <c r="G721" s="59" t="s">
        <v>275</v>
      </c>
    </row>
    <row r="722">
      <c r="A722" s="57"/>
      <c r="D722" s="58"/>
      <c r="E722" s="58"/>
      <c r="F722" s="58"/>
      <c r="G722" s="59" t="s">
        <v>275</v>
      </c>
    </row>
    <row r="723">
      <c r="A723" s="57"/>
      <c r="D723" s="58"/>
      <c r="E723" s="58"/>
      <c r="F723" s="58"/>
      <c r="G723" s="59" t="s">
        <v>275</v>
      </c>
    </row>
    <row r="724">
      <c r="A724" s="57"/>
      <c r="D724" s="58"/>
      <c r="E724" s="58"/>
      <c r="F724" s="58"/>
      <c r="G724" s="59" t="s">
        <v>275</v>
      </c>
    </row>
    <row r="725">
      <c r="A725" s="57"/>
      <c r="D725" s="58"/>
      <c r="E725" s="58"/>
      <c r="F725" s="58"/>
      <c r="G725" s="59" t="s">
        <v>275</v>
      </c>
    </row>
    <row r="726">
      <c r="A726" s="57"/>
      <c r="D726" s="58"/>
      <c r="E726" s="58"/>
      <c r="F726" s="58"/>
      <c r="G726" s="59" t="s">
        <v>275</v>
      </c>
    </row>
    <row r="727">
      <c r="A727" s="57"/>
      <c r="D727" s="58"/>
      <c r="E727" s="58"/>
      <c r="F727" s="58"/>
      <c r="G727" s="59" t="s">
        <v>275</v>
      </c>
    </row>
    <row r="728">
      <c r="A728" s="57"/>
      <c r="D728" s="58"/>
      <c r="E728" s="58"/>
      <c r="F728" s="58"/>
      <c r="G728" s="59" t="s">
        <v>275</v>
      </c>
    </row>
    <row r="729">
      <c r="A729" s="57"/>
      <c r="D729" s="58"/>
      <c r="E729" s="58"/>
      <c r="F729" s="58"/>
      <c r="G729" s="59" t="s">
        <v>275</v>
      </c>
    </row>
    <row r="730">
      <c r="A730" s="57"/>
      <c r="D730" s="58"/>
      <c r="E730" s="58"/>
      <c r="F730" s="58"/>
      <c r="G730" s="59" t="s">
        <v>275</v>
      </c>
    </row>
    <row r="731">
      <c r="A731" s="57"/>
      <c r="D731" s="58"/>
      <c r="E731" s="58"/>
      <c r="F731" s="58"/>
      <c r="G731" s="59" t="s">
        <v>275</v>
      </c>
    </row>
    <row r="732">
      <c r="A732" s="57"/>
      <c r="D732" s="58"/>
      <c r="E732" s="58"/>
      <c r="F732" s="58"/>
      <c r="G732" s="59" t="s">
        <v>275</v>
      </c>
    </row>
    <row r="733">
      <c r="A733" s="57"/>
      <c r="D733" s="58"/>
      <c r="E733" s="58"/>
      <c r="F733" s="58"/>
      <c r="G733" s="59" t="s">
        <v>275</v>
      </c>
    </row>
    <row r="734">
      <c r="A734" s="57"/>
      <c r="D734" s="58"/>
      <c r="E734" s="58"/>
      <c r="F734" s="58"/>
      <c r="G734" s="59" t="s">
        <v>275</v>
      </c>
    </row>
    <row r="735">
      <c r="A735" s="57"/>
      <c r="D735" s="58"/>
      <c r="E735" s="58"/>
      <c r="F735" s="58"/>
      <c r="G735" s="59" t="s">
        <v>275</v>
      </c>
    </row>
    <row r="736">
      <c r="A736" s="57"/>
      <c r="D736" s="58"/>
      <c r="E736" s="58"/>
      <c r="F736" s="58"/>
      <c r="G736" s="59" t="s">
        <v>275</v>
      </c>
    </row>
    <row r="737">
      <c r="A737" s="57"/>
      <c r="D737" s="58"/>
      <c r="E737" s="58"/>
      <c r="F737" s="58"/>
      <c r="G737" s="59" t="s">
        <v>275</v>
      </c>
    </row>
    <row r="738">
      <c r="A738" s="57"/>
      <c r="D738" s="58"/>
      <c r="E738" s="58"/>
      <c r="F738" s="58"/>
      <c r="G738" s="59" t="s">
        <v>275</v>
      </c>
    </row>
    <row r="739">
      <c r="A739" s="57"/>
      <c r="D739" s="58"/>
      <c r="E739" s="58"/>
      <c r="F739" s="58"/>
      <c r="G739" s="59" t="s">
        <v>275</v>
      </c>
    </row>
    <row r="740">
      <c r="A740" s="57"/>
      <c r="D740" s="58"/>
      <c r="E740" s="58"/>
      <c r="F740" s="58"/>
      <c r="G740" s="59" t="s">
        <v>275</v>
      </c>
    </row>
    <row r="741">
      <c r="A741" s="57"/>
      <c r="D741" s="58"/>
      <c r="E741" s="58"/>
      <c r="F741" s="58"/>
      <c r="G741" s="59" t="s">
        <v>275</v>
      </c>
    </row>
    <row r="742">
      <c r="A742" s="57"/>
      <c r="D742" s="58"/>
      <c r="E742" s="58"/>
      <c r="F742" s="58"/>
      <c r="G742" s="59" t="s">
        <v>275</v>
      </c>
    </row>
    <row r="743">
      <c r="A743" s="57"/>
      <c r="D743" s="58"/>
      <c r="E743" s="58"/>
      <c r="F743" s="58"/>
      <c r="G743" s="59" t="s">
        <v>275</v>
      </c>
    </row>
    <row r="744">
      <c r="A744" s="57"/>
      <c r="D744" s="58"/>
      <c r="E744" s="58"/>
      <c r="F744" s="58"/>
      <c r="G744" s="59" t="s">
        <v>275</v>
      </c>
    </row>
    <row r="745">
      <c r="A745" s="57"/>
      <c r="D745" s="58"/>
      <c r="E745" s="58"/>
      <c r="F745" s="58"/>
      <c r="G745" s="59" t="s">
        <v>275</v>
      </c>
    </row>
    <row r="746">
      <c r="A746" s="57"/>
      <c r="D746" s="58"/>
      <c r="E746" s="58"/>
      <c r="F746" s="58"/>
      <c r="G746" s="59" t="s">
        <v>275</v>
      </c>
    </row>
    <row r="747">
      <c r="A747" s="57"/>
      <c r="D747" s="58"/>
      <c r="E747" s="58"/>
      <c r="F747" s="58"/>
      <c r="G747" s="59" t="s">
        <v>275</v>
      </c>
    </row>
    <row r="748">
      <c r="A748" s="57"/>
      <c r="D748" s="58"/>
      <c r="E748" s="58"/>
      <c r="F748" s="58"/>
      <c r="G748" s="59" t="s">
        <v>275</v>
      </c>
    </row>
    <row r="749">
      <c r="A749" s="57"/>
      <c r="D749" s="58"/>
      <c r="E749" s="58"/>
      <c r="F749" s="58"/>
      <c r="G749" s="59" t="s">
        <v>275</v>
      </c>
    </row>
    <row r="750">
      <c r="A750" s="57"/>
      <c r="D750" s="58"/>
      <c r="E750" s="58"/>
      <c r="F750" s="58"/>
      <c r="G750" s="59" t="s">
        <v>275</v>
      </c>
    </row>
    <row r="751">
      <c r="A751" s="57"/>
      <c r="D751" s="58"/>
      <c r="E751" s="58"/>
      <c r="F751" s="58"/>
      <c r="G751" s="59" t="s">
        <v>275</v>
      </c>
    </row>
    <row r="752">
      <c r="A752" s="57"/>
      <c r="D752" s="58"/>
      <c r="E752" s="58"/>
      <c r="F752" s="58"/>
      <c r="G752" s="59" t="s">
        <v>275</v>
      </c>
    </row>
    <row r="753">
      <c r="A753" s="57"/>
      <c r="D753" s="58"/>
      <c r="E753" s="58"/>
      <c r="F753" s="58"/>
      <c r="G753" s="59" t="s">
        <v>275</v>
      </c>
    </row>
    <row r="754">
      <c r="A754" s="57"/>
      <c r="D754" s="58"/>
      <c r="E754" s="58"/>
      <c r="F754" s="58"/>
      <c r="G754" s="59" t="s">
        <v>275</v>
      </c>
    </row>
    <row r="755">
      <c r="A755" s="57"/>
      <c r="D755" s="58"/>
      <c r="E755" s="58"/>
      <c r="F755" s="58"/>
      <c r="G755" s="59" t="s">
        <v>275</v>
      </c>
    </row>
    <row r="756">
      <c r="A756" s="57"/>
      <c r="D756" s="58"/>
      <c r="E756" s="58"/>
      <c r="F756" s="58"/>
      <c r="G756" s="59" t="s">
        <v>275</v>
      </c>
    </row>
    <row r="757">
      <c r="A757" s="57"/>
      <c r="D757" s="58"/>
      <c r="E757" s="58"/>
      <c r="F757" s="58"/>
      <c r="G757" s="59" t="s">
        <v>275</v>
      </c>
    </row>
    <row r="758">
      <c r="A758" s="57"/>
      <c r="D758" s="58"/>
      <c r="E758" s="58"/>
      <c r="F758" s="58"/>
      <c r="G758" s="59" t="s">
        <v>275</v>
      </c>
    </row>
    <row r="759">
      <c r="A759" s="57"/>
      <c r="D759" s="58"/>
      <c r="E759" s="58"/>
      <c r="F759" s="58"/>
      <c r="G759" s="59" t="s">
        <v>275</v>
      </c>
    </row>
    <row r="760">
      <c r="A760" s="57"/>
      <c r="D760" s="58"/>
      <c r="E760" s="58"/>
      <c r="F760" s="58"/>
      <c r="G760" s="59" t="s">
        <v>275</v>
      </c>
    </row>
    <row r="761">
      <c r="A761" s="57"/>
      <c r="D761" s="58"/>
      <c r="E761" s="58"/>
      <c r="F761" s="58"/>
      <c r="G761" s="59" t="s">
        <v>275</v>
      </c>
    </row>
    <row r="762">
      <c r="A762" s="57"/>
      <c r="D762" s="58"/>
      <c r="E762" s="58"/>
      <c r="F762" s="58"/>
      <c r="G762" s="59" t="s">
        <v>275</v>
      </c>
    </row>
    <row r="763">
      <c r="A763" s="57"/>
      <c r="D763" s="58"/>
      <c r="E763" s="58"/>
      <c r="F763" s="58"/>
      <c r="G763" s="59" t="s">
        <v>275</v>
      </c>
    </row>
    <row r="764">
      <c r="A764" s="57"/>
      <c r="D764" s="58"/>
      <c r="E764" s="58"/>
      <c r="F764" s="58"/>
      <c r="G764" s="59" t="s">
        <v>275</v>
      </c>
    </row>
    <row r="765">
      <c r="A765" s="57"/>
      <c r="D765" s="58"/>
      <c r="E765" s="58"/>
      <c r="F765" s="58"/>
      <c r="G765" s="59" t="s">
        <v>275</v>
      </c>
    </row>
    <row r="766">
      <c r="A766" s="57"/>
      <c r="D766" s="58"/>
      <c r="E766" s="58"/>
      <c r="F766" s="58"/>
      <c r="G766" s="59" t="s">
        <v>275</v>
      </c>
    </row>
    <row r="767">
      <c r="A767" s="57"/>
      <c r="D767" s="58"/>
      <c r="E767" s="58"/>
      <c r="F767" s="58"/>
      <c r="G767" s="59" t="s">
        <v>275</v>
      </c>
    </row>
    <row r="768">
      <c r="A768" s="57"/>
      <c r="D768" s="58"/>
      <c r="E768" s="58"/>
      <c r="F768" s="58"/>
      <c r="G768" s="59" t="s">
        <v>275</v>
      </c>
    </row>
    <row r="769">
      <c r="A769" s="57"/>
      <c r="D769" s="58"/>
      <c r="E769" s="58"/>
      <c r="F769" s="58"/>
      <c r="G769" s="59" t="s">
        <v>275</v>
      </c>
    </row>
    <row r="770">
      <c r="A770" s="57"/>
      <c r="D770" s="58"/>
      <c r="E770" s="58"/>
      <c r="F770" s="58"/>
      <c r="G770" s="59" t="s">
        <v>275</v>
      </c>
    </row>
    <row r="771">
      <c r="A771" s="57"/>
      <c r="D771" s="58"/>
      <c r="E771" s="58"/>
      <c r="F771" s="58"/>
      <c r="G771" s="59" t="s">
        <v>275</v>
      </c>
    </row>
    <row r="772">
      <c r="A772" s="57"/>
      <c r="D772" s="58"/>
      <c r="E772" s="58"/>
      <c r="F772" s="58"/>
      <c r="G772" s="59" t="s">
        <v>275</v>
      </c>
    </row>
    <row r="773">
      <c r="A773" s="57"/>
      <c r="D773" s="58"/>
      <c r="E773" s="58"/>
      <c r="F773" s="58"/>
      <c r="G773" s="59" t="s">
        <v>275</v>
      </c>
    </row>
    <row r="774">
      <c r="A774" s="57"/>
      <c r="D774" s="58"/>
      <c r="E774" s="58"/>
      <c r="F774" s="58"/>
      <c r="G774" s="59" t="s">
        <v>275</v>
      </c>
    </row>
    <row r="775">
      <c r="A775" s="57"/>
      <c r="D775" s="58"/>
      <c r="E775" s="58"/>
      <c r="F775" s="58"/>
      <c r="G775" s="59" t="s">
        <v>275</v>
      </c>
    </row>
    <row r="776">
      <c r="A776" s="57"/>
      <c r="D776" s="58"/>
      <c r="E776" s="58"/>
      <c r="F776" s="58"/>
      <c r="G776" s="59" t="s">
        <v>275</v>
      </c>
    </row>
    <row r="777">
      <c r="A777" s="57"/>
      <c r="D777" s="58"/>
      <c r="E777" s="58"/>
      <c r="F777" s="58"/>
      <c r="G777" s="59" t="s">
        <v>275</v>
      </c>
    </row>
    <row r="778">
      <c r="A778" s="57"/>
      <c r="D778" s="58"/>
      <c r="E778" s="58"/>
      <c r="F778" s="58"/>
      <c r="G778" s="59" t="s">
        <v>275</v>
      </c>
    </row>
    <row r="779">
      <c r="A779" s="57"/>
      <c r="D779" s="58"/>
      <c r="E779" s="58"/>
      <c r="F779" s="58"/>
      <c r="G779" s="59" t="s">
        <v>275</v>
      </c>
    </row>
    <row r="780">
      <c r="A780" s="57"/>
      <c r="D780" s="58"/>
      <c r="E780" s="58"/>
      <c r="F780" s="58"/>
      <c r="G780" s="59" t="s">
        <v>275</v>
      </c>
    </row>
    <row r="781">
      <c r="A781" s="57"/>
      <c r="D781" s="58"/>
      <c r="E781" s="58"/>
      <c r="F781" s="58"/>
      <c r="G781" s="59" t="s">
        <v>275</v>
      </c>
    </row>
    <row r="782">
      <c r="A782" s="57"/>
      <c r="D782" s="58"/>
      <c r="E782" s="58"/>
      <c r="F782" s="58"/>
      <c r="G782" s="59" t="s">
        <v>275</v>
      </c>
    </row>
    <row r="783">
      <c r="A783" s="57"/>
      <c r="D783" s="58"/>
      <c r="E783" s="58"/>
      <c r="F783" s="58"/>
      <c r="G783" s="59" t="s">
        <v>275</v>
      </c>
    </row>
    <row r="784">
      <c r="A784" s="57"/>
      <c r="D784" s="58"/>
      <c r="E784" s="58"/>
      <c r="F784" s="58"/>
      <c r="G784" s="59" t="s">
        <v>275</v>
      </c>
    </row>
    <row r="785">
      <c r="A785" s="57"/>
      <c r="D785" s="58"/>
      <c r="E785" s="58"/>
      <c r="F785" s="58"/>
      <c r="G785" s="59" t="s">
        <v>275</v>
      </c>
    </row>
    <row r="786">
      <c r="A786" s="57"/>
      <c r="D786" s="58"/>
      <c r="E786" s="58"/>
      <c r="F786" s="58"/>
      <c r="G786" s="59" t="s">
        <v>275</v>
      </c>
    </row>
    <row r="787">
      <c r="A787" s="57"/>
      <c r="D787" s="58"/>
      <c r="E787" s="58"/>
      <c r="F787" s="58"/>
      <c r="G787" s="59" t="s">
        <v>275</v>
      </c>
    </row>
    <row r="788">
      <c r="A788" s="57"/>
      <c r="D788" s="58"/>
      <c r="E788" s="58"/>
      <c r="F788" s="58"/>
      <c r="G788" s="59" t="s">
        <v>275</v>
      </c>
    </row>
    <row r="789">
      <c r="A789" s="57"/>
      <c r="D789" s="58"/>
      <c r="E789" s="58"/>
      <c r="F789" s="58"/>
      <c r="G789" s="59" t="s">
        <v>275</v>
      </c>
    </row>
    <row r="790">
      <c r="A790" s="57"/>
      <c r="D790" s="58"/>
      <c r="E790" s="58"/>
      <c r="F790" s="58"/>
      <c r="G790" s="59" t="s">
        <v>275</v>
      </c>
    </row>
    <row r="791">
      <c r="A791" s="57"/>
      <c r="D791" s="58"/>
      <c r="E791" s="58"/>
      <c r="F791" s="58"/>
      <c r="G791" s="59" t="s">
        <v>275</v>
      </c>
    </row>
    <row r="792">
      <c r="A792" s="57"/>
      <c r="D792" s="58"/>
      <c r="E792" s="58"/>
      <c r="F792" s="58"/>
      <c r="G792" s="59" t="s">
        <v>275</v>
      </c>
    </row>
    <row r="793">
      <c r="A793" s="57"/>
      <c r="D793" s="58"/>
      <c r="E793" s="58"/>
      <c r="F793" s="58"/>
      <c r="G793" s="59" t="s">
        <v>275</v>
      </c>
    </row>
    <row r="794">
      <c r="A794" s="57"/>
      <c r="D794" s="58"/>
      <c r="E794" s="58"/>
      <c r="F794" s="58"/>
      <c r="G794" s="59" t="s">
        <v>275</v>
      </c>
    </row>
    <row r="795">
      <c r="A795" s="57"/>
      <c r="D795" s="58"/>
      <c r="E795" s="58"/>
      <c r="F795" s="58"/>
      <c r="G795" s="59" t="s">
        <v>275</v>
      </c>
    </row>
    <row r="796">
      <c r="A796" s="57"/>
      <c r="D796" s="58"/>
      <c r="E796" s="58"/>
      <c r="F796" s="58"/>
      <c r="G796" s="59" t="s">
        <v>275</v>
      </c>
    </row>
    <row r="797">
      <c r="A797" s="57"/>
      <c r="D797" s="58"/>
      <c r="E797" s="58"/>
      <c r="F797" s="58"/>
      <c r="G797" s="59" t="s">
        <v>275</v>
      </c>
    </row>
    <row r="798">
      <c r="A798" s="57"/>
      <c r="D798" s="58"/>
      <c r="E798" s="58"/>
      <c r="F798" s="58"/>
      <c r="G798" s="59" t="s">
        <v>275</v>
      </c>
    </row>
    <row r="799">
      <c r="A799" s="57"/>
      <c r="D799" s="58"/>
      <c r="E799" s="58"/>
      <c r="F799" s="58"/>
      <c r="G799" s="59" t="s">
        <v>275</v>
      </c>
    </row>
    <row r="800">
      <c r="A800" s="57"/>
      <c r="D800" s="58"/>
      <c r="E800" s="58"/>
      <c r="F800" s="58"/>
      <c r="G800" s="59" t="s">
        <v>275</v>
      </c>
    </row>
    <row r="801">
      <c r="A801" s="57"/>
      <c r="D801" s="58"/>
      <c r="E801" s="58"/>
      <c r="F801" s="58"/>
      <c r="G801" s="59" t="s">
        <v>275</v>
      </c>
    </row>
    <row r="802">
      <c r="A802" s="57"/>
      <c r="D802" s="58"/>
      <c r="E802" s="58"/>
      <c r="F802" s="58"/>
      <c r="G802" s="59" t="s">
        <v>275</v>
      </c>
    </row>
    <row r="803">
      <c r="A803" s="57"/>
      <c r="D803" s="58"/>
      <c r="E803" s="58"/>
      <c r="F803" s="58"/>
      <c r="G803" s="59" t="s">
        <v>275</v>
      </c>
    </row>
    <row r="804">
      <c r="A804" s="57"/>
      <c r="D804" s="58"/>
      <c r="E804" s="58"/>
      <c r="F804" s="58"/>
      <c r="G804" s="59" t="s">
        <v>275</v>
      </c>
    </row>
    <row r="805">
      <c r="A805" s="57"/>
      <c r="D805" s="58"/>
      <c r="E805" s="58"/>
      <c r="F805" s="58"/>
      <c r="G805" s="59" t="s">
        <v>275</v>
      </c>
    </row>
    <row r="806">
      <c r="A806" s="57"/>
      <c r="D806" s="58"/>
      <c r="E806" s="58"/>
      <c r="F806" s="58"/>
      <c r="G806" s="59" t="s">
        <v>275</v>
      </c>
    </row>
    <row r="807">
      <c r="A807" s="57"/>
      <c r="D807" s="58"/>
      <c r="E807" s="58"/>
      <c r="F807" s="58"/>
      <c r="G807" s="59" t="s">
        <v>275</v>
      </c>
    </row>
    <row r="808">
      <c r="A808" s="57"/>
      <c r="D808" s="58"/>
      <c r="E808" s="58"/>
      <c r="F808" s="58"/>
      <c r="G808" s="59" t="s">
        <v>275</v>
      </c>
    </row>
    <row r="809">
      <c r="A809" s="57"/>
      <c r="D809" s="58"/>
      <c r="E809" s="58"/>
      <c r="F809" s="58"/>
      <c r="G809" s="59" t="s">
        <v>275</v>
      </c>
    </row>
    <row r="810">
      <c r="A810" s="57"/>
      <c r="D810" s="58"/>
      <c r="E810" s="58"/>
      <c r="F810" s="58"/>
      <c r="G810" s="59" t="s">
        <v>275</v>
      </c>
    </row>
    <row r="811">
      <c r="A811" s="57"/>
      <c r="D811" s="58"/>
      <c r="E811" s="58"/>
      <c r="F811" s="58"/>
      <c r="G811" s="59" t="s">
        <v>275</v>
      </c>
    </row>
    <row r="812">
      <c r="A812" s="57"/>
      <c r="D812" s="58"/>
      <c r="E812" s="58"/>
      <c r="F812" s="58"/>
      <c r="G812" s="59" t="s">
        <v>275</v>
      </c>
    </row>
    <row r="813">
      <c r="A813" s="57"/>
      <c r="D813" s="58"/>
      <c r="E813" s="58"/>
      <c r="F813" s="58"/>
      <c r="G813" s="59" t="s">
        <v>275</v>
      </c>
    </row>
    <row r="814">
      <c r="A814" s="57"/>
      <c r="D814" s="58"/>
      <c r="E814" s="58"/>
      <c r="F814" s="58"/>
      <c r="G814" s="59" t="s">
        <v>275</v>
      </c>
    </row>
    <row r="815">
      <c r="A815" s="57"/>
      <c r="D815" s="58"/>
      <c r="E815" s="58"/>
      <c r="F815" s="58"/>
      <c r="G815" s="59" t="s">
        <v>275</v>
      </c>
    </row>
    <row r="816">
      <c r="A816" s="57"/>
      <c r="D816" s="58"/>
      <c r="E816" s="58"/>
      <c r="F816" s="58"/>
      <c r="G816" s="59" t="s">
        <v>275</v>
      </c>
    </row>
    <row r="817">
      <c r="A817" s="57"/>
      <c r="D817" s="58"/>
      <c r="E817" s="58"/>
      <c r="F817" s="58"/>
      <c r="G817" s="59" t="s">
        <v>275</v>
      </c>
    </row>
    <row r="818">
      <c r="A818" s="57"/>
      <c r="D818" s="58"/>
      <c r="E818" s="58"/>
      <c r="F818" s="58"/>
      <c r="G818" s="59" t="s">
        <v>275</v>
      </c>
    </row>
    <row r="819">
      <c r="A819" s="57"/>
      <c r="D819" s="58"/>
      <c r="E819" s="58"/>
      <c r="F819" s="58"/>
      <c r="G819" s="59" t="s">
        <v>275</v>
      </c>
    </row>
    <row r="820">
      <c r="A820" s="57"/>
      <c r="D820" s="58"/>
      <c r="E820" s="58"/>
      <c r="F820" s="58"/>
      <c r="G820" s="59" t="s">
        <v>275</v>
      </c>
    </row>
    <row r="821">
      <c r="A821" s="57"/>
      <c r="D821" s="58"/>
      <c r="E821" s="58"/>
      <c r="F821" s="58"/>
      <c r="G821" s="59" t="s">
        <v>275</v>
      </c>
    </row>
    <row r="822">
      <c r="A822" s="57"/>
      <c r="D822" s="58"/>
      <c r="E822" s="58"/>
      <c r="F822" s="58"/>
      <c r="G822" s="59" t="s">
        <v>275</v>
      </c>
    </row>
    <row r="823">
      <c r="A823" s="57"/>
      <c r="D823" s="58"/>
      <c r="E823" s="58"/>
      <c r="F823" s="58"/>
      <c r="G823" s="59" t="s">
        <v>275</v>
      </c>
    </row>
    <row r="824">
      <c r="A824" s="57"/>
      <c r="D824" s="58"/>
      <c r="E824" s="58"/>
      <c r="F824" s="58"/>
      <c r="G824" s="59" t="s">
        <v>275</v>
      </c>
    </row>
    <row r="825">
      <c r="A825" s="57"/>
      <c r="D825" s="58"/>
      <c r="E825" s="58"/>
      <c r="F825" s="58"/>
      <c r="G825" s="59" t="s">
        <v>275</v>
      </c>
    </row>
    <row r="826">
      <c r="A826" s="57"/>
      <c r="D826" s="58"/>
      <c r="E826" s="58"/>
      <c r="F826" s="58"/>
      <c r="G826" s="59" t="s">
        <v>275</v>
      </c>
    </row>
    <row r="827">
      <c r="A827" s="57"/>
      <c r="D827" s="58"/>
      <c r="E827" s="58"/>
      <c r="F827" s="58"/>
      <c r="G827" s="59" t="s">
        <v>275</v>
      </c>
    </row>
    <row r="828">
      <c r="A828" s="57"/>
      <c r="D828" s="58"/>
      <c r="E828" s="58"/>
      <c r="F828" s="58"/>
      <c r="G828" s="59" t="s">
        <v>275</v>
      </c>
    </row>
    <row r="829">
      <c r="A829" s="57"/>
      <c r="D829" s="58"/>
      <c r="E829" s="58"/>
      <c r="F829" s="58"/>
      <c r="G829" s="59" t="s">
        <v>275</v>
      </c>
    </row>
    <row r="830">
      <c r="A830" s="57"/>
      <c r="D830" s="58"/>
      <c r="E830" s="58"/>
      <c r="F830" s="58"/>
      <c r="G830" s="59" t="s">
        <v>275</v>
      </c>
    </row>
    <row r="831">
      <c r="A831" s="57"/>
      <c r="D831" s="58"/>
      <c r="E831" s="58"/>
      <c r="F831" s="58"/>
      <c r="G831" s="59" t="s">
        <v>275</v>
      </c>
    </row>
    <row r="832">
      <c r="A832" s="57"/>
      <c r="D832" s="58"/>
      <c r="E832" s="58"/>
      <c r="F832" s="58"/>
      <c r="G832" s="59" t="s">
        <v>275</v>
      </c>
    </row>
    <row r="833">
      <c r="A833" s="57"/>
      <c r="D833" s="58"/>
      <c r="E833" s="58"/>
      <c r="F833" s="58"/>
      <c r="G833" s="59" t="s">
        <v>275</v>
      </c>
    </row>
    <row r="834">
      <c r="A834" s="57"/>
      <c r="D834" s="58"/>
      <c r="E834" s="58"/>
      <c r="F834" s="58"/>
      <c r="G834" s="59" t="s">
        <v>275</v>
      </c>
    </row>
    <row r="835">
      <c r="A835" s="57"/>
      <c r="D835" s="58"/>
      <c r="E835" s="58"/>
      <c r="F835" s="58"/>
      <c r="G835" s="59" t="s">
        <v>275</v>
      </c>
    </row>
    <row r="836">
      <c r="A836" s="57"/>
      <c r="D836" s="58"/>
      <c r="E836" s="58"/>
      <c r="F836" s="58"/>
      <c r="G836" s="59" t="s">
        <v>275</v>
      </c>
    </row>
    <row r="837">
      <c r="A837" s="57"/>
      <c r="D837" s="58"/>
      <c r="E837" s="58"/>
      <c r="F837" s="58"/>
      <c r="G837" s="59" t="s">
        <v>275</v>
      </c>
    </row>
    <row r="838">
      <c r="A838" s="57"/>
      <c r="D838" s="58"/>
      <c r="E838" s="58"/>
      <c r="F838" s="58"/>
      <c r="G838" s="59" t="s">
        <v>275</v>
      </c>
    </row>
    <row r="839">
      <c r="A839" s="57"/>
      <c r="D839" s="58"/>
      <c r="E839" s="58"/>
      <c r="F839" s="58"/>
      <c r="G839" s="59" t="s">
        <v>275</v>
      </c>
    </row>
    <row r="840">
      <c r="A840" s="57"/>
      <c r="D840" s="58"/>
      <c r="E840" s="58"/>
      <c r="F840" s="58"/>
      <c r="G840" s="59" t="s">
        <v>275</v>
      </c>
    </row>
    <row r="841">
      <c r="A841" s="57"/>
      <c r="D841" s="58"/>
      <c r="E841" s="58"/>
      <c r="F841" s="58"/>
      <c r="G841" s="59" t="s">
        <v>275</v>
      </c>
    </row>
    <row r="842">
      <c r="A842" s="57"/>
      <c r="D842" s="58"/>
      <c r="E842" s="58"/>
      <c r="F842" s="58"/>
      <c r="G842" s="59" t="s">
        <v>275</v>
      </c>
    </row>
    <row r="843">
      <c r="A843" s="57"/>
      <c r="D843" s="58"/>
      <c r="E843" s="58"/>
      <c r="F843" s="58"/>
      <c r="G843" s="59" t="s">
        <v>275</v>
      </c>
    </row>
    <row r="844">
      <c r="A844" s="57"/>
      <c r="D844" s="58"/>
      <c r="E844" s="58"/>
      <c r="F844" s="58"/>
      <c r="G844" s="59" t="s">
        <v>275</v>
      </c>
    </row>
    <row r="845">
      <c r="A845" s="57"/>
      <c r="D845" s="58"/>
      <c r="E845" s="58"/>
      <c r="F845" s="58"/>
      <c r="G845" s="59" t="s">
        <v>275</v>
      </c>
    </row>
    <row r="846">
      <c r="A846" s="57"/>
      <c r="D846" s="58"/>
      <c r="E846" s="58"/>
      <c r="F846" s="58"/>
      <c r="G846" s="59" t="s">
        <v>275</v>
      </c>
    </row>
    <row r="847">
      <c r="A847" s="57"/>
      <c r="D847" s="58"/>
      <c r="E847" s="58"/>
      <c r="F847" s="58"/>
      <c r="G847" s="59" t="s">
        <v>275</v>
      </c>
    </row>
    <row r="848">
      <c r="A848" s="57"/>
      <c r="D848" s="58"/>
      <c r="E848" s="58"/>
      <c r="F848" s="58"/>
      <c r="G848" s="59" t="s">
        <v>275</v>
      </c>
    </row>
    <row r="849">
      <c r="A849" s="57"/>
      <c r="D849" s="58"/>
      <c r="E849" s="58"/>
      <c r="F849" s="58"/>
      <c r="G849" s="59" t="s">
        <v>275</v>
      </c>
    </row>
    <row r="850">
      <c r="A850" s="57"/>
      <c r="D850" s="58"/>
      <c r="E850" s="58"/>
      <c r="F850" s="58"/>
      <c r="G850" s="59" t="s">
        <v>275</v>
      </c>
    </row>
    <row r="851">
      <c r="A851" s="57"/>
      <c r="D851" s="58"/>
      <c r="E851" s="58"/>
      <c r="F851" s="58"/>
      <c r="G851" s="59" t="s">
        <v>275</v>
      </c>
    </row>
    <row r="852">
      <c r="A852" s="57"/>
      <c r="D852" s="58"/>
      <c r="E852" s="58"/>
      <c r="F852" s="58"/>
      <c r="G852" s="59" t="s">
        <v>275</v>
      </c>
    </row>
    <row r="853">
      <c r="A853" s="57"/>
      <c r="D853" s="58"/>
      <c r="E853" s="58"/>
      <c r="F853" s="58"/>
      <c r="G853" s="59" t="s">
        <v>275</v>
      </c>
    </row>
    <row r="854">
      <c r="A854" s="57"/>
      <c r="D854" s="58"/>
      <c r="E854" s="58"/>
      <c r="F854" s="58"/>
      <c r="G854" s="59" t="s">
        <v>275</v>
      </c>
    </row>
    <row r="855">
      <c r="A855" s="57"/>
      <c r="D855" s="58"/>
      <c r="E855" s="58"/>
      <c r="F855" s="58"/>
      <c r="G855" s="59" t="s">
        <v>275</v>
      </c>
    </row>
    <row r="856">
      <c r="A856" s="57"/>
      <c r="D856" s="58"/>
      <c r="E856" s="58"/>
      <c r="F856" s="58"/>
      <c r="G856" s="59" t="s">
        <v>275</v>
      </c>
    </row>
    <row r="857">
      <c r="A857" s="57"/>
      <c r="D857" s="58"/>
      <c r="E857" s="58"/>
      <c r="F857" s="58"/>
      <c r="G857" s="59" t="s">
        <v>275</v>
      </c>
    </row>
    <row r="858">
      <c r="A858" s="57"/>
      <c r="D858" s="58"/>
      <c r="E858" s="58"/>
      <c r="F858" s="58"/>
      <c r="G858" s="59" t="s">
        <v>275</v>
      </c>
    </row>
    <row r="859">
      <c r="A859" s="57"/>
      <c r="D859" s="58"/>
      <c r="E859" s="58"/>
      <c r="F859" s="58"/>
      <c r="G859" s="59" t="s">
        <v>275</v>
      </c>
    </row>
    <row r="860">
      <c r="A860" s="57"/>
      <c r="D860" s="58"/>
      <c r="E860" s="58"/>
      <c r="F860" s="58"/>
      <c r="G860" s="59" t="s">
        <v>275</v>
      </c>
    </row>
    <row r="861">
      <c r="A861" s="57"/>
      <c r="D861" s="58"/>
      <c r="E861" s="58"/>
      <c r="F861" s="58"/>
      <c r="G861" s="59" t="s">
        <v>275</v>
      </c>
    </row>
    <row r="862">
      <c r="A862" s="57"/>
      <c r="D862" s="58"/>
      <c r="E862" s="58"/>
      <c r="F862" s="58"/>
      <c r="G862" s="59" t="s">
        <v>275</v>
      </c>
    </row>
    <row r="863">
      <c r="A863" s="57"/>
      <c r="D863" s="58"/>
      <c r="E863" s="58"/>
      <c r="F863" s="58"/>
      <c r="G863" s="59" t="s">
        <v>275</v>
      </c>
    </row>
    <row r="864">
      <c r="A864" s="57"/>
      <c r="D864" s="58"/>
      <c r="E864" s="58"/>
      <c r="F864" s="58"/>
      <c r="G864" s="59" t="s">
        <v>275</v>
      </c>
    </row>
    <row r="865">
      <c r="A865" s="57"/>
      <c r="D865" s="58"/>
      <c r="E865" s="58"/>
      <c r="F865" s="58"/>
      <c r="G865" s="59" t="s">
        <v>275</v>
      </c>
    </row>
    <row r="866">
      <c r="A866" s="57"/>
      <c r="D866" s="58"/>
      <c r="E866" s="58"/>
      <c r="F866" s="58"/>
      <c r="G866" s="59" t="s">
        <v>275</v>
      </c>
    </row>
    <row r="867">
      <c r="A867" s="57"/>
      <c r="D867" s="58"/>
      <c r="E867" s="58"/>
      <c r="F867" s="58"/>
      <c r="G867" s="59" t="s">
        <v>275</v>
      </c>
    </row>
    <row r="868">
      <c r="A868" s="57"/>
      <c r="D868" s="58"/>
      <c r="E868" s="58"/>
      <c r="F868" s="58"/>
      <c r="G868" s="59" t="s">
        <v>275</v>
      </c>
    </row>
    <row r="869">
      <c r="A869" s="57"/>
      <c r="D869" s="58"/>
      <c r="E869" s="58"/>
      <c r="F869" s="58"/>
      <c r="G869" s="59" t="s">
        <v>275</v>
      </c>
    </row>
    <row r="870">
      <c r="A870" s="57"/>
      <c r="D870" s="58"/>
      <c r="E870" s="58"/>
      <c r="F870" s="58"/>
      <c r="G870" s="59" t="s">
        <v>275</v>
      </c>
    </row>
    <row r="871">
      <c r="A871" s="57"/>
      <c r="D871" s="58"/>
      <c r="E871" s="58"/>
      <c r="F871" s="58"/>
      <c r="G871" s="59" t="s">
        <v>275</v>
      </c>
    </row>
    <row r="872">
      <c r="A872" s="57"/>
      <c r="D872" s="58"/>
      <c r="E872" s="58"/>
      <c r="F872" s="58"/>
      <c r="G872" s="59" t="s">
        <v>275</v>
      </c>
    </row>
    <row r="873">
      <c r="A873" s="57"/>
      <c r="D873" s="58"/>
      <c r="E873" s="58"/>
      <c r="F873" s="58"/>
      <c r="G873" s="59" t="s">
        <v>275</v>
      </c>
    </row>
    <row r="874">
      <c r="A874" s="57"/>
      <c r="D874" s="58"/>
      <c r="E874" s="58"/>
      <c r="F874" s="58"/>
      <c r="G874" s="59" t="s">
        <v>275</v>
      </c>
    </row>
    <row r="875">
      <c r="A875" s="57"/>
      <c r="D875" s="58"/>
      <c r="E875" s="58"/>
      <c r="F875" s="58"/>
      <c r="G875" s="59" t="s">
        <v>275</v>
      </c>
    </row>
    <row r="876">
      <c r="A876" s="57"/>
      <c r="D876" s="58"/>
      <c r="E876" s="58"/>
      <c r="F876" s="58"/>
      <c r="G876" s="59" t="s">
        <v>275</v>
      </c>
    </row>
    <row r="877">
      <c r="A877" s="57"/>
      <c r="D877" s="58"/>
      <c r="E877" s="58"/>
      <c r="F877" s="58"/>
      <c r="G877" s="59" t="s">
        <v>275</v>
      </c>
    </row>
    <row r="878">
      <c r="A878" s="57"/>
      <c r="D878" s="58"/>
      <c r="E878" s="58"/>
      <c r="F878" s="58"/>
      <c r="G878" s="59" t="s">
        <v>275</v>
      </c>
    </row>
    <row r="879">
      <c r="A879" s="57"/>
      <c r="D879" s="58"/>
      <c r="E879" s="58"/>
      <c r="F879" s="58"/>
      <c r="G879" s="59" t="s">
        <v>275</v>
      </c>
    </row>
    <row r="880">
      <c r="A880" s="57"/>
      <c r="D880" s="58"/>
      <c r="E880" s="58"/>
      <c r="F880" s="58"/>
      <c r="G880" s="59" t="s">
        <v>275</v>
      </c>
    </row>
    <row r="881">
      <c r="A881" s="57"/>
      <c r="D881" s="58"/>
      <c r="E881" s="58"/>
      <c r="F881" s="58"/>
      <c r="G881" s="59" t="s">
        <v>275</v>
      </c>
    </row>
    <row r="882">
      <c r="A882" s="57"/>
      <c r="D882" s="58"/>
      <c r="E882" s="58"/>
      <c r="F882" s="58"/>
      <c r="G882" s="59" t="s">
        <v>275</v>
      </c>
    </row>
    <row r="883">
      <c r="A883" s="57"/>
      <c r="D883" s="58"/>
      <c r="E883" s="58"/>
      <c r="F883" s="58"/>
      <c r="G883" s="59" t="s">
        <v>275</v>
      </c>
    </row>
    <row r="884">
      <c r="A884" s="57"/>
      <c r="D884" s="58"/>
      <c r="E884" s="58"/>
      <c r="F884" s="58"/>
      <c r="G884" s="59" t="s">
        <v>275</v>
      </c>
    </row>
    <row r="885">
      <c r="A885" s="57"/>
      <c r="D885" s="58"/>
      <c r="E885" s="58"/>
      <c r="F885" s="58"/>
      <c r="G885" s="59" t="s">
        <v>275</v>
      </c>
    </row>
    <row r="886">
      <c r="A886" s="57"/>
      <c r="D886" s="58"/>
      <c r="E886" s="58"/>
      <c r="F886" s="58"/>
      <c r="G886" s="59" t="s">
        <v>275</v>
      </c>
    </row>
    <row r="887">
      <c r="A887" s="57"/>
      <c r="D887" s="58"/>
      <c r="E887" s="58"/>
      <c r="F887" s="58"/>
      <c r="G887" s="59" t="s">
        <v>275</v>
      </c>
    </row>
    <row r="888">
      <c r="A888" s="57"/>
      <c r="D888" s="58"/>
      <c r="E888" s="58"/>
      <c r="F888" s="58"/>
      <c r="G888" s="59" t="s">
        <v>275</v>
      </c>
    </row>
    <row r="889">
      <c r="A889" s="57"/>
      <c r="D889" s="58"/>
      <c r="E889" s="58"/>
      <c r="F889" s="58"/>
      <c r="G889" s="59" t="s">
        <v>275</v>
      </c>
    </row>
    <row r="890">
      <c r="A890" s="57"/>
      <c r="D890" s="58"/>
      <c r="E890" s="58"/>
      <c r="F890" s="58"/>
      <c r="G890" s="59" t="s">
        <v>275</v>
      </c>
    </row>
    <row r="891">
      <c r="A891" s="57"/>
      <c r="D891" s="58"/>
      <c r="E891" s="58"/>
      <c r="F891" s="58"/>
      <c r="G891" s="59" t="s">
        <v>275</v>
      </c>
    </row>
    <row r="892">
      <c r="A892" s="57"/>
      <c r="D892" s="58"/>
      <c r="E892" s="58"/>
      <c r="F892" s="58"/>
      <c r="G892" s="59" t="s">
        <v>275</v>
      </c>
    </row>
    <row r="893">
      <c r="A893" s="57"/>
      <c r="D893" s="58"/>
      <c r="E893" s="58"/>
      <c r="F893" s="58"/>
      <c r="G893" s="59" t="s">
        <v>275</v>
      </c>
    </row>
    <row r="894">
      <c r="A894" s="57"/>
      <c r="D894" s="58"/>
      <c r="E894" s="58"/>
      <c r="F894" s="58"/>
      <c r="G894" s="59" t="s">
        <v>275</v>
      </c>
    </row>
    <row r="895">
      <c r="A895" s="57"/>
      <c r="D895" s="58"/>
      <c r="E895" s="58"/>
      <c r="F895" s="58"/>
      <c r="G895" s="59" t="s">
        <v>275</v>
      </c>
    </row>
    <row r="896">
      <c r="A896" s="57"/>
      <c r="D896" s="58"/>
      <c r="E896" s="58"/>
      <c r="F896" s="58"/>
      <c r="G896" s="59" t="s">
        <v>275</v>
      </c>
    </row>
    <row r="897">
      <c r="A897" s="57"/>
      <c r="D897" s="58"/>
      <c r="E897" s="58"/>
      <c r="F897" s="58"/>
      <c r="G897" s="59" t="s">
        <v>275</v>
      </c>
    </row>
    <row r="898">
      <c r="A898" s="57"/>
      <c r="D898" s="58"/>
      <c r="E898" s="58"/>
      <c r="F898" s="58"/>
      <c r="G898" s="59" t="s">
        <v>275</v>
      </c>
    </row>
    <row r="899">
      <c r="A899" s="57"/>
      <c r="D899" s="58"/>
      <c r="E899" s="58"/>
      <c r="F899" s="58"/>
      <c r="G899" s="59" t="s">
        <v>275</v>
      </c>
    </row>
    <row r="900">
      <c r="A900" s="57"/>
      <c r="D900" s="58"/>
      <c r="E900" s="58"/>
      <c r="F900" s="58"/>
      <c r="G900" s="59" t="s">
        <v>275</v>
      </c>
    </row>
    <row r="901">
      <c r="A901" s="57"/>
      <c r="D901" s="58"/>
      <c r="E901" s="58"/>
      <c r="F901" s="58"/>
      <c r="G901" s="59" t="s">
        <v>275</v>
      </c>
    </row>
    <row r="902">
      <c r="A902" s="57"/>
      <c r="D902" s="58"/>
      <c r="E902" s="58"/>
      <c r="F902" s="58"/>
      <c r="G902" s="59" t="s">
        <v>275</v>
      </c>
    </row>
    <row r="903">
      <c r="A903" s="57"/>
      <c r="D903" s="58"/>
      <c r="E903" s="58"/>
      <c r="F903" s="58"/>
      <c r="G903" s="59" t="s">
        <v>275</v>
      </c>
    </row>
    <row r="904">
      <c r="A904" s="57"/>
      <c r="D904" s="58"/>
      <c r="E904" s="58"/>
      <c r="F904" s="58"/>
      <c r="G904" s="59" t="s">
        <v>275</v>
      </c>
    </row>
    <row r="905">
      <c r="A905" s="57"/>
      <c r="D905" s="58"/>
      <c r="E905" s="58"/>
      <c r="F905" s="58"/>
      <c r="G905" s="59" t="s">
        <v>275</v>
      </c>
    </row>
    <row r="906">
      <c r="A906" s="57"/>
      <c r="D906" s="58"/>
      <c r="E906" s="58"/>
      <c r="F906" s="58"/>
      <c r="G906" s="59" t="s">
        <v>275</v>
      </c>
    </row>
    <row r="907">
      <c r="A907" s="57"/>
      <c r="D907" s="58"/>
      <c r="E907" s="58"/>
      <c r="F907" s="58"/>
      <c r="G907" s="59" t="s">
        <v>275</v>
      </c>
    </row>
    <row r="908">
      <c r="A908" s="57"/>
      <c r="D908" s="58"/>
      <c r="E908" s="58"/>
      <c r="F908" s="58"/>
      <c r="G908" s="59" t="s">
        <v>275</v>
      </c>
    </row>
    <row r="909">
      <c r="A909" s="57"/>
      <c r="D909" s="58"/>
      <c r="E909" s="58"/>
      <c r="F909" s="58"/>
      <c r="G909" s="59" t="s">
        <v>275</v>
      </c>
    </row>
    <row r="910">
      <c r="A910" s="57"/>
      <c r="D910" s="58"/>
      <c r="E910" s="58"/>
      <c r="F910" s="58"/>
      <c r="G910" s="59" t="s">
        <v>275</v>
      </c>
    </row>
    <row r="911">
      <c r="A911" s="57"/>
      <c r="D911" s="58"/>
      <c r="E911" s="58"/>
      <c r="F911" s="58"/>
      <c r="G911" s="59" t="s">
        <v>275</v>
      </c>
    </row>
    <row r="912">
      <c r="A912" s="57"/>
      <c r="D912" s="58"/>
      <c r="E912" s="58"/>
      <c r="F912" s="58"/>
      <c r="G912" s="59" t="s">
        <v>275</v>
      </c>
    </row>
    <row r="913">
      <c r="A913" s="57"/>
      <c r="D913" s="58"/>
      <c r="E913" s="58"/>
      <c r="F913" s="58"/>
      <c r="G913" s="59" t="s">
        <v>275</v>
      </c>
    </row>
    <row r="914">
      <c r="A914" s="57"/>
      <c r="D914" s="58"/>
      <c r="E914" s="58"/>
      <c r="F914" s="58"/>
      <c r="G914" s="59" t="s">
        <v>275</v>
      </c>
    </row>
    <row r="915">
      <c r="A915" s="57"/>
      <c r="D915" s="58"/>
      <c r="E915" s="58"/>
      <c r="F915" s="58"/>
      <c r="G915" s="59" t="s">
        <v>275</v>
      </c>
    </row>
    <row r="916">
      <c r="A916" s="57"/>
      <c r="D916" s="58"/>
      <c r="E916" s="58"/>
      <c r="F916" s="58"/>
      <c r="G916" s="59" t="s">
        <v>275</v>
      </c>
    </row>
    <row r="917">
      <c r="A917" s="57"/>
      <c r="D917" s="58"/>
      <c r="E917" s="58"/>
      <c r="F917" s="58"/>
      <c r="G917" s="59" t="s">
        <v>275</v>
      </c>
    </row>
    <row r="918">
      <c r="A918" s="57"/>
      <c r="D918" s="58"/>
      <c r="E918" s="58"/>
      <c r="F918" s="58"/>
      <c r="G918" s="59" t="s">
        <v>275</v>
      </c>
    </row>
    <row r="919">
      <c r="A919" s="57"/>
      <c r="D919" s="58"/>
      <c r="E919" s="58"/>
      <c r="F919" s="58"/>
      <c r="G919" s="59" t="s">
        <v>275</v>
      </c>
    </row>
    <row r="920">
      <c r="A920" s="57"/>
      <c r="D920" s="58"/>
      <c r="E920" s="58"/>
      <c r="F920" s="58"/>
      <c r="G920" s="59" t="s">
        <v>275</v>
      </c>
    </row>
    <row r="921">
      <c r="A921" s="57"/>
      <c r="D921" s="58"/>
      <c r="E921" s="58"/>
      <c r="F921" s="58"/>
      <c r="G921" s="59" t="s">
        <v>275</v>
      </c>
    </row>
    <row r="922">
      <c r="A922" s="57"/>
      <c r="D922" s="58"/>
      <c r="E922" s="58"/>
      <c r="F922" s="58"/>
      <c r="G922" s="59" t="s">
        <v>275</v>
      </c>
    </row>
    <row r="923">
      <c r="A923" s="57"/>
      <c r="D923" s="58"/>
      <c r="E923" s="58"/>
      <c r="F923" s="58"/>
      <c r="G923" s="59" t="s">
        <v>275</v>
      </c>
    </row>
    <row r="924">
      <c r="A924" s="57"/>
      <c r="D924" s="58"/>
      <c r="E924" s="58"/>
      <c r="F924" s="58"/>
      <c r="G924" s="59" t="s">
        <v>275</v>
      </c>
    </row>
    <row r="925">
      <c r="A925" s="57"/>
      <c r="D925" s="58"/>
      <c r="E925" s="58"/>
      <c r="F925" s="58"/>
      <c r="G925" s="59" t="s">
        <v>275</v>
      </c>
    </row>
    <row r="926">
      <c r="A926" s="57"/>
      <c r="D926" s="58"/>
      <c r="E926" s="58"/>
      <c r="F926" s="58"/>
      <c r="G926" s="59" t="s">
        <v>275</v>
      </c>
    </row>
    <row r="927">
      <c r="A927" s="57"/>
      <c r="D927" s="58"/>
      <c r="E927" s="58"/>
      <c r="F927" s="58"/>
      <c r="G927" s="59" t="s">
        <v>275</v>
      </c>
    </row>
    <row r="928">
      <c r="A928" s="57"/>
      <c r="D928" s="58"/>
      <c r="E928" s="58"/>
      <c r="F928" s="58"/>
      <c r="G928" s="59" t="s">
        <v>275</v>
      </c>
    </row>
    <row r="929">
      <c r="A929" s="57"/>
      <c r="D929" s="58"/>
      <c r="E929" s="58"/>
      <c r="F929" s="58"/>
      <c r="G929" s="59" t="s">
        <v>275</v>
      </c>
    </row>
    <row r="930">
      <c r="A930" s="57"/>
      <c r="D930" s="58"/>
      <c r="E930" s="58"/>
      <c r="F930" s="58"/>
      <c r="G930" s="59" t="s">
        <v>275</v>
      </c>
    </row>
    <row r="931">
      <c r="A931" s="57"/>
      <c r="D931" s="58"/>
      <c r="E931" s="58"/>
      <c r="F931" s="58"/>
      <c r="G931" s="59" t="s">
        <v>275</v>
      </c>
    </row>
    <row r="932">
      <c r="A932" s="57"/>
      <c r="D932" s="58"/>
      <c r="E932" s="58"/>
      <c r="F932" s="58"/>
      <c r="G932" s="59" t="s">
        <v>275</v>
      </c>
    </row>
    <row r="933">
      <c r="A933" s="57"/>
      <c r="D933" s="58"/>
      <c r="E933" s="58"/>
      <c r="F933" s="58"/>
      <c r="G933" s="59" t="s">
        <v>275</v>
      </c>
    </row>
    <row r="934">
      <c r="A934" s="57"/>
      <c r="D934" s="58"/>
      <c r="E934" s="58"/>
      <c r="F934" s="58"/>
      <c r="G934" s="59" t="s">
        <v>275</v>
      </c>
    </row>
    <row r="935">
      <c r="A935" s="57"/>
      <c r="D935" s="58"/>
      <c r="E935" s="58"/>
      <c r="F935" s="58"/>
      <c r="G935" s="59" t="s">
        <v>275</v>
      </c>
    </row>
    <row r="936">
      <c r="A936" s="57"/>
      <c r="D936" s="58"/>
      <c r="E936" s="58"/>
      <c r="F936" s="58"/>
      <c r="G936" s="59" t="s">
        <v>275</v>
      </c>
    </row>
    <row r="937">
      <c r="A937" s="57"/>
      <c r="D937" s="58"/>
      <c r="E937" s="58"/>
      <c r="F937" s="58"/>
      <c r="G937" s="59" t="s">
        <v>275</v>
      </c>
    </row>
    <row r="938">
      <c r="A938" s="57"/>
      <c r="D938" s="58"/>
      <c r="E938" s="58"/>
      <c r="F938" s="58"/>
      <c r="G938" s="59" t="s">
        <v>275</v>
      </c>
    </row>
    <row r="939">
      <c r="A939" s="57"/>
      <c r="D939" s="58"/>
      <c r="E939" s="58"/>
      <c r="F939" s="58"/>
      <c r="G939" s="59" t="s">
        <v>275</v>
      </c>
    </row>
    <row r="940">
      <c r="A940" s="57"/>
      <c r="D940" s="58"/>
      <c r="E940" s="58"/>
      <c r="F940" s="58"/>
      <c r="G940" s="59" t="s">
        <v>275</v>
      </c>
    </row>
    <row r="941">
      <c r="A941" s="57"/>
      <c r="D941" s="58"/>
      <c r="E941" s="58"/>
      <c r="F941" s="58"/>
      <c r="G941" s="59" t="s">
        <v>275</v>
      </c>
    </row>
    <row r="942">
      <c r="A942" s="57"/>
      <c r="D942" s="58"/>
      <c r="E942" s="58"/>
      <c r="F942" s="58"/>
      <c r="G942" s="59" t="s">
        <v>275</v>
      </c>
    </row>
    <row r="943">
      <c r="A943" s="57"/>
      <c r="D943" s="58"/>
      <c r="E943" s="58"/>
      <c r="F943" s="58"/>
      <c r="G943" s="59" t="s">
        <v>275</v>
      </c>
    </row>
    <row r="944">
      <c r="A944" s="57"/>
      <c r="D944" s="58"/>
      <c r="E944" s="58"/>
      <c r="F944" s="58"/>
      <c r="G944" s="59" t="s">
        <v>275</v>
      </c>
    </row>
    <row r="945">
      <c r="A945" s="57"/>
      <c r="D945" s="58"/>
      <c r="E945" s="58"/>
      <c r="F945" s="58"/>
      <c r="G945" s="59" t="s">
        <v>275</v>
      </c>
    </row>
    <row r="946">
      <c r="A946" s="57"/>
      <c r="D946" s="58"/>
      <c r="E946" s="58"/>
      <c r="F946" s="58"/>
      <c r="G946" s="59" t="s">
        <v>275</v>
      </c>
    </row>
    <row r="947">
      <c r="A947" s="57"/>
      <c r="D947" s="58"/>
      <c r="E947" s="58"/>
      <c r="F947" s="58"/>
      <c r="G947" s="59" t="s">
        <v>275</v>
      </c>
    </row>
    <row r="948">
      <c r="A948" s="57"/>
      <c r="D948" s="58"/>
      <c r="E948" s="58"/>
      <c r="F948" s="58"/>
      <c r="G948" s="59" t="s">
        <v>275</v>
      </c>
    </row>
    <row r="949">
      <c r="A949" s="57"/>
      <c r="D949" s="58"/>
      <c r="E949" s="58"/>
      <c r="F949" s="58"/>
      <c r="G949" s="59" t="s">
        <v>275</v>
      </c>
    </row>
    <row r="950">
      <c r="A950" s="57"/>
      <c r="D950" s="58"/>
      <c r="E950" s="58"/>
      <c r="F950" s="58"/>
      <c r="G950" s="59" t="s">
        <v>275</v>
      </c>
    </row>
    <row r="951">
      <c r="A951" s="57"/>
      <c r="D951" s="58"/>
      <c r="E951" s="58"/>
      <c r="F951" s="58"/>
      <c r="G951" s="59" t="s">
        <v>275</v>
      </c>
    </row>
    <row r="952">
      <c r="A952" s="57"/>
      <c r="D952" s="58"/>
      <c r="E952" s="58"/>
      <c r="F952" s="58"/>
      <c r="G952" s="59" t="s">
        <v>275</v>
      </c>
    </row>
    <row r="953">
      <c r="A953" s="57"/>
      <c r="D953" s="58"/>
      <c r="E953" s="58"/>
      <c r="F953" s="58"/>
      <c r="G953" s="59" t="s">
        <v>275</v>
      </c>
    </row>
    <row r="954">
      <c r="A954" s="57"/>
      <c r="D954" s="58"/>
      <c r="E954" s="58"/>
      <c r="F954" s="58"/>
      <c r="G954" s="59" t="s">
        <v>275</v>
      </c>
    </row>
    <row r="955">
      <c r="A955" s="57"/>
      <c r="D955" s="58"/>
      <c r="E955" s="58"/>
      <c r="F955" s="58"/>
      <c r="G955" s="59" t="s">
        <v>275</v>
      </c>
    </row>
    <row r="956">
      <c r="A956" s="57"/>
      <c r="D956" s="58"/>
      <c r="E956" s="58"/>
      <c r="F956" s="58"/>
      <c r="G956" s="59" t="s">
        <v>275</v>
      </c>
    </row>
    <row r="957">
      <c r="A957" s="57"/>
      <c r="D957" s="58"/>
      <c r="E957" s="58"/>
      <c r="F957" s="58"/>
      <c r="G957" s="59" t="s">
        <v>275</v>
      </c>
    </row>
    <row r="958">
      <c r="A958" s="57"/>
      <c r="D958" s="58"/>
      <c r="E958" s="58"/>
      <c r="F958" s="58"/>
      <c r="G958" s="59" t="s">
        <v>275</v>
      </c>
    </row>
    <row r="959">
      <c r="A959" s="57"/>
      <c r="D959" s="58"/>
      <c r="E959" s="58"/>
      <c r="F959" s="58"/>
      <c r="G959" s="59" t="s">
        <v>275</v>
      </c>
    </row>
    <row r="960">
      <c r="A960" s="57"/>
      <c r="D960" s="58"/>
      <c r="E960" s="58"/>
      <c r="F960" s="58"/>
      <c r="G960" s="59" t="s">
        <v>275</v>
      </c>
    </row>
    <row r="961">
      <c r="A961" s="57"/>
      <c r="D961" s="58"/>
      <c r="E961" s="58"/>
      <c r="F961" s="58"/>
      <c r="G961" s="59" t="s">
        <v>275</v>
      </c>
    </row>
    <row r="962">
      <c r="A962" s="57"/>
      <c r="D962" s="58"/>
      <c r="E962" s="58"/>
      <c r="F962" s="58"/>
      <c r="G962" s="59" t="s">
        <v>275</v>
      </c>
    </row>
    <row r="963">
      <c r="A963" s="57"/>
      <c r="D963" s="58"/>
      <c r="E963" s="58"/>
      <c r="F963" s="58"/>
      <c r="G963" s="59" t="s">
        <v>275</v>
      </c>
    </row>
    <row r="964">
      <c r="A964" s="57"/>
      <c r="D964" s="58"/>
      <c r="E964" s="58"/>
      <c r="F964" s="58"/>
      <c r="G964" s="59" t="s">
        <v>275</v>
      </c>
    </row>
    <row r="965">
      <c r="A965" s="57"/>
      <c r="D965" s="58"/>
      <c r="E965" s="58"/>
      <c r="F965" s="58"/>
      <c r="G965" s="59" t="s">
        <v>275</v>
      </c>
    </row>
    <row r="966">
      <c r="A966" s="57"/>
      <c r="D966" s="58"/>
      <c r="E966" s="58"/>
      <c r="F966" s="58"/>
      <c r="G966" s="59" t="s">
        <v>275</v>
      </c>
    </row>
    <row r="967">
      <c r="A967" s="57"/>
      <c r="D967" s="58"/>
      <c r="E967" s="58"/>
      <c r="F967" s="58"/>
      <c r="G967" s="59" t="s">
        <v>275</v>
      </c>
    </row>
    <row r="968">
      <c r="A968" s="57"/>
      <c r="D968" s="58"/>
      <c r="E968" s="58"/>
      <c r="F968" s="58"/>
      <c r="G968" s="59" t="s">
        <v>275</v>
      </c>
    </row>
    <row r="969">
      <c r="A969" s="57"/>
      <c r="D969" s="58"/>
      <c r="E969" s="58"/>
      <c r="F969" s="58"/>
      <c r="G969" s="59" t="s">
        <v>275</v>
      </c>
    </row>
    <row r="970">
      <c r="A970" s="57"/>
      <c r="D970" s="58"/>
      <c r="E970" s="58"/>
      <c r="F970" s="58"/>
      <c r="G970" s="59" t="s">
        <v>275</v>
      </c>
    </row>
    <row r="971">
      <c r="A971" s="57"/>
      <c r="D971" s="58"/>
      <c r="E971" s="58"/>
      <c r="F971" s="58"/>
      <c r="G971" s="59" t="s">
        <v>275</v>
      </c>
    </row>
    <row r="972">
      <c r="A972" s="57"/>
      <c r="D972" s="58"/>
      <c r="E972" s="58"/>
      <c r="F972" s="58"/>
      <c r="G972" s="59" t="s">
        <v>275</v>
      </c>
    </row>
    <row r="973">
      <c r="A973" s="57"/>
      <c r="D973" s="58"/>
      <c r="E973" s="58"/>
      <c r="F973" s="58"/>
      <c r="G973" s="59" t="s">
        <v>275</v>
      </c>
    </row>
    <row r="974">
      <c r="A974" s="57"/>
      <c r="D974" s="58"/>
      <c r="E974" s="58"/>
      <c r="F974" s="58"/>
      <c r="G974" s="59" t="s">
        <v>275</v>
      </c>
    </row>
    <row r="975">
      <c r="A975" s="57"/>
      <c r="D975" s="58"/>
      <c r="E975" s="58"/>
      <c r="F975" s="58"/>
      <c r="G975" s="59" t="s">
        <v>275</v>
      </c>
    </row>
    <row r="976">
      <c r="A976" s="57"/>
      <c r="D976" s="58"/>
      <c r="E976" s="58"/>
      <c r="F976" s="58"/>
      <c r="G976" s="59" t="s">
        <v>275</v>
      </c>
    </row>
    <row r="977">
      <c r="A977" s="57"/>
      <c r="D977" s="58"/>
      <c r="E977" s="58"/>
      <c r="F977" s="58"/>
      <c r="G977" s="59" t="s">
        <v>275</v>
      </c>
    </row>
    <row r="978">
      <c r="A978" s="57"/>
      <c r="D978" s="58"/>
      <c r="E978" s="58"/>
      <c r="F978" s="58"/>
      <c r="G978" s="59" t="s">
        <v>275</v>
      </c>
    </row>
    <row r="979">
      <c r="A979" s="57"/>
      <c r="D979" s="58"/>
      <c r="E979" s="58"/>
      <c r="F979" s="58"/>
      <c r="G979" s="59" t="s">
        <v>275</v>
      </c>
    </row>
    <row r="980">
      <c r="A980" s="57"/>
      <c r="D980" s="58"/>
      <c r="E980" s="58"/>
      <c r="F980" s="58"/>
      <c r="G980" s="59" t="s">
        <v>275</v>
      </c>
    </row>
    <row r="981">
      <c r="A981" s="57"/>
      <c r="D981" s="58"/>
      <c r="E981" s="58"/>
      <c r="F981" s="58"/>
      <c r="G981" s="59" t="s">
        <v>275</v>
      </c>
    </row>
    <row r="982">
      <c r="A982" s="57"/>
      <c r="D982" s="58"/>
      <c r="E982" s="58"/>
      <c r="F982" s="58"/>
      <c r="G982" s="59" t="s">
        <v>275</v>
      </c>
    </row>
    <row r="983">
      <c r="A983" s="57"/>
      <c r="D983" s="58"/>
      <c r="E983" s="58"/>
      <c r="F983" s="58"/>
      <c r="G983" s="59" t="s">
        <v>275</v>
      </c>
    </row>
    <row r="984">
      <c r="A984" s="57"/>
      <c r="D984" s="58"/>
      <c r="E984" s="58"/>
      <c r="F984" s="58"/>
      <c r="G984" s="59" t="s">
        <v>275</v>
      </c>
    </row>
    <row r="985">
      <c r="A985" s="57"/>
      <c r="D985" s="58"/>
      <c r="E985" s="58"/>
      <c r="F985" s="58"/>
      <c r="G985" s="59" t="s">
        <v>275</v>
      </c>
    </row>
    <row r="986">
      <c r="A986" s="57"/>
      <c r="D986" s="58"/>
      <c r="E986" s="58"/>
      <c r="F986" s="58"/>
      <c r="G986" s="59" t="s">
        <v>275</v>
      </c>
    </row>
    <row r="987">
      <c r="A987" s="57"/>
      <c r="D987" s="58"/>
      <c r="E987" s="58"/>
      <c r="F987" s="58"/>
      <c r="G987" s="59" t="s">
        <v>275</v>
      </c>
    </row>
    <row r="988">
      <c r="A988" s="57"/>
      <c r="D988" s="58"/>
      <c r="E988" s="58"/>
      <c r="F988" s="58"/>
      <c r="G988" s="59" t="s">
        <v>275</v>
      </c>
    </row>
    <row r="989">
      <c r="A989" s="57"/>
      <c r="D989" s="58"/>
      <c r="E989" s="58"/>
      <c r="F989" s="58"/>
      <c r="G989" s="59" t="s">
        <v>275</v>
      </c>
    </row>
    <row r="990">
      <c r="A990" s="57"/>
      <c r="D990" s="58"/>
      <c r="E990" s="58"/>
      <c r="F990" s="58"/>
      <c r="G990" s="59" t="s">
        <v>275</v>
      </c>
    </row>
    <row r="991">
      <c r="A991" s="57"/>
      <c r="D991" s="58"/>
      <c r="E991" s="58"/>
      <c r="F991" s="58"/>
      <c r="G991" s="59" t="s">
        <v>275</v>
      </c>
    </row>
    <row r="992">
      <c r="A992" s="57"/>
      <c r="D992" s="58"/>
      <c r="E992" s="58"/>
      <c r="F992" s="58"/>
      <c r="G992" s="59" t="s">
        <v>275</v>
      </c>
    </row>
    <row r="993">
      <c r="A993" s="57"/>
      <c r="D993" s="58"/>
      <c r="E993" s="58"/>
      <c r="F993" s="58"/>
      <c r="G993" s="59" t="s">
        <v>275</v>
      </c>
    </row>
    <row r="994">
      <c r="A994" s="57"/>
      <c r="D994" s="58"/>
      <c r="E994" s="58"/>
      <c r="F994" s="58"/>
      <c r="G994" s="59" t="s">
        <v>275</v>
      </c>
    </row>
    <row r="995">
      <c r="A995" s="57"/>
      <c r="D995" s="58"/>
      <c r="E995" s="58"/>
      <c r="F995" s="58"/>
      <c r="G995" s="59" t="s">
        <v>275</v>
      </c>
    </row>
    <row r="996">
      <c r="A996" s="57"/>
      <c r="D996" s="58"/>
      <c r="E996" s="58"/>
      <c r="F996" s="58"/>
      <c r="G996" s="59" t="s">
        <v>275</v>
      </c>
    </row>
    <row r="997">
      <c r="A997" s="57"/>
      <c r="D997" s="58"/>
      <c r="E997" s="58"/>
      <c r="F997" s="58"/>
      <c r="G997" s="59" t="s">
        <v>275</v>
      </c>
    </row>
    <row r="998">
      <c r="A998" s="57"/>
      <c r="D998" s="58"/>
      <c r="E998" s="58"/>
      <c r="F998" s="58"/>
      <c r="G998" s="59" t="s">
        <v>275</v>
      </c>
    </row>
    <row r="999">
      <c r="A999" s="57"/>
      <c r="D999" s="58"/>
      <c r="E999" s="58"/>
      <c r="F999" s="58"/>
      <c r="G999" s="59" t="s">
        <v>275</v>
      </c>
    </row>
    <row r="1000">
      <c r="A1000" s="57"/>
      <c r="D1000" s="58"/>
      <c r="E1000" s="58"/>
      <c r="F1000" s="58"/>
      <c r="G1000" s="59" t="s">
        <v>275</v>
      </c>
    </row>
  </sheetData>
  <mergeCells count="2">
    <mergeCell ref="A1:G1"/>
    <mergeCell ref="A2:G2"/>
  </mergeCells>
  <dataValidations>
    <dataValidation type="list" allowBlank="1" sqref="B3">
      <formula1>COA!$A$4:$A$60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5.13"/>
    <col customWidth="1" min="2" max="8" width="16.38"/>
    <col customWidth="1" min="9" max="9" width="2.88"/>
  </cols>
  <sheetData>
    <row r="1" ht="30.0" customHeight="1">
      <c r="A1" s="1" t="s">
        <v>276</v>
      </c>
      <c r="J1" s="60"/>
      <c r="K1" s="60"/>
    </row>
    <row r="2">
      <c r="A2" s="61" t="str">
        <f>"RAABIHA CLOTHING &amp; KONVEKSI — Periode: " &amp; TEXT(Dashboard!G5,"dd/mm/yyyy") &amp; " s/d " &amp; TEXT(Dashboard!H5,"dd/mm/yyyy")
</f>
        <v>RAABIHA CLOTHING &amp; KONVEKSI — Periode: 01/08/2026 s/d 31/08/2026</v>
      </c>
      <c r="K2" s="62"/>
    </row>
    <row r="3" ht="24.0" customHeight="1">
      <c r="A3" s="4" t="s">
        <v>277</v>
      </c>
      <c r="B3" s="4" t="s">
        <v>35</v>
      </c>
      <c r="C3" s="4" t="s">
        <v>50</v>
      </c>
      <c r="D3" s="4" t="s">
        <v>55</v>
      </c>
      <c r="E3" s="4" t="s">
        <v>79</v>
      </c>
      <c r="F3" s="4" t="s">
        <v>72</v>
      </c>
      <c r="G3" s="4" t="s">
        <v>60</v>
      </c>
      <c r="H3" s="4" t="s">
        <v>109</v>
      </c>
      <c r="K3" s="62"/>
    </row>
    <row r="4">
      <c r="A4" s="29" t="s">
        <v>278</v>
      </c>
    </row>
    <row r="5">
      <c r="A5" s="9" t="s">
        <v>279</v>
      </c>
      <c r="B5" s="20">
        <f>SUMIFS('INPUT Penjualan'!H4:H1000, 'INPUT Penjualan'!C4:C1000, "POS Toko", 'INPUT Penjualan'!A4:A1000, "&gt;="&amp;Dashboard!$G$5, 'INPUT Penjualan'!A4:A1000, "&lt;="&amp;Dashboard!$H$5)
</f>
        <v>7000000</v>
      </c>
      <c r="H5" s="20">
        <f>B5</f>
        <v>7000000</v>
      </c>
    </row>
    <row r="6">
      <c r="A6" s="9" t="s">
        <v>280</v>
      </c>
      <c r="C6" s="20">
        <f>SUMIFS('INPUT Penjualan'!H4:H1000, 'INPUT Penjualan'!C4:C1000, "Web Raabiha", 'INPUT Penjualan'!A4:A1000, "&gt;="&amp;Dashboard!$G$5, 'INPUT Penjualan'!A4:A1000, "&lt;="&amp;Dashboard!$H$5)
</f>
        <v>3000000</v>
      </c>
      <c r="H6" s="20">
        <f>C6</f>
        <v>3000000</v>
      </c>
    </row>
    <row r="7">
      <c r="A7" s="9" t="s">
        <v>281</v>
      </c>
      <c r="D7" s="20">
        <f>SUMIFS('INPUT Penjualan'!H4:H1000, 'INPUT Penjualan'!C4:C1000, "Shopee", 'INPUT Penjualan'!A4:A1000, "&gt;="&amp;Dashboard!$G$5, 'INPUT Penjualan'!A4:A1000, "&lt;="&amp;Dashboard!$H$5)
</f>
        <v>10000000</v>
      </c>
      <c r="H7" s="20">
        <f t="shared" ref="H7:H10" si="1">SUM(B7:G7)</f>
        <v>10000000</v>
      </c>
    </row>
    <row r="8">
      <c r="A8" s="9" t="s">
        <v>282</v>
      </c>
      <c r="E8" s="20">
        <f>SUMIFS('INPUT Penjualan'!H4:H1000, 'INPUT Penjualan'!C4:C1000, "Lazada", 'INPUT Penjualan'!A4:A1000, "&gt;="&amp;Dashboard!$G$5, 'INPUT Penjualan'!A4:A1000, "&lt;="&amp;Dashboard!$H$5)
</f>
        <v>2000000</v>
      </c>
      <c r="H8" s="20">
        <f t="shared" si="1"/>
        <v>2000000</v>
      </c>
    </row>
    <row r="9">
      <c r="A9" s="9" t="s">
        <v>283</v>
      </c>
      <c r="F9" s="20">
        <f>SUMIFS('INPUT Penjualan'!H4:H1000, 'INPUT Penjualan'!C4:C1000, "Tokopedia", 'INPUT Penjualan'!A4:A1000, "&gt;="&amp;Dashboard!$G$5, 'INPUT Penjualan'!A4:A1000, "&lt;="&amp;Dashboard!$H$5)
</f>
        <v>4000000</v>
      </c>
      <c r="H9" s="20">
        <f t="shared" si="1"/>
        <v>4000000</v>
      </c>
    </row>
    <row r="10">
      <c r="A10" s="9" t="s">
        <v>284</v>
      </c>
      <c r="G10" s="20">
        <f>SUMIFS('INPUT Penjualan'!H4:H1000, 'INPUT Penjualan'!C4:C1000, "TikTok Shop", 'INPUT Penjualan'!A4:A1000, "&gt;="&amp;Dashboard!$G$5, 'INPUT Penjualan'!A4:A1000, "&lt;="&amp;Dashboard!$H$5)
</f>
        <v>8000000</v>
      </c>
      <c r="H10" s="20">
        <f t="shared" si="1"/>
        <v>8000000</v>
      </c>
    </row>
    <row r="11">
      <c r="A11" s="9" t="s">
        <v>285</v>
      </c>
      <c r="H11" s="20">
        <f>SUMIFS('INPUT Penjualan'!K4:K1000, 'INPUT Penjualan'!F4:F1000, "4-201", 'INPUT Penjualan'!A4:A1000, "&gt;="&amp;Dashboard!$G$5, 'INPUT Penjualan'!A4:A1000, "&lt;="&amp;Dashboard!$H$5)
</f>
        <v>0</v>
      </c>
    </row>
    <row r="12">
      <c r="A12" s="63" t="s">
        <v>286</v>
      </c>
      <c r="B12" s="64"/>
      <c r="C12" s="64"/>
      <c r="D12" s="64"/>
      <c r="E12" s="64"/>
      <c r="F12" s="64"/>
      <c r="G12" s="64"/>
      <c r="H12" s="65">
        <f>SUM(H5:H11)</f>
        <v>34000000</v>
      </c>
    </row>
    <row r="13">
      <c r="A13" s="66" t="s">
        <v>287</v>
      </c>
    </row>
    <row r="14">
      <c r="A14" s="9" t="s">
        <v>288</v>
      </c>
      <c r="B14" s="20">
        <f>SUMIFS('INPUT Penjualan'!I4:I1000, 'INPUT Penjualan'!C4:C1000, B3, 'INPUT Penjualan'!A4:A1000, "&gt;="&amp;Dashboard!$G$5, 'INPUT Penjualan'!A4:A1000, "&lt;="&amp;Dashboard!$H$5)
</f>
        <v>0</v>
      </c>
      <c r="C14" s="20">
        <f>SUMIFS('INPUT Penjualan'!J4:J1000, 'INPUT Penjualan'!D4:D1000, C3, 'INPUT Penjualan'!B4:B1000, "&gt;="&amp;Dashboard!$G$5, 'INPUT Penjualan'!B4:B1000, "&lt;="&amp;Dashboard!$H$5)
</f>
        <v>0</v>
      </c>
      <c r="D14" s="20">
        <f>SUMIFS('INPUT Penjualan'!K4:K1000, 'INPUT Penjualan'!E4:E1000, D3, 'INPUT Penjualan'!C4:C1000, "&gt;="&amp;Dashboard!$G$5, 'INPUT Penjualan'!C4:C1000, "&lt;="&amp;Dashboard!$H$5)
</f>
        <v>0</v>
      </c>
      <c r="E14" s="20">
        <f>SUMIFS('INPUT Penjualan'!L4:L1000, 'INPUT Penjualan'!F4:F1000, E3, 'INPUT Penjualan'!D4:D1000, "&gt;="&amp;Dashboard!$G$5, 'INPUT Penjualan'!D4:D1000, "&lt;="&amp;Dashboard!$H$5)
</f>
        <v>0</v>
      </c>
      <c r="F14" s="20">
        <f>SUMIFS('INPUT Penjualan'!M4:M1000, 'INPUT Penjualan'!G4:G1000, F3, 'INPUT Penjualan'!E4:E1000, "&gt;="&amp;Dashboard!$G$5, 'INPUT Penjualan'!E4:E1000, "&lt;="&amp;Dashboard!$H$5)
</f>
        <v>0</v>
      </c>
      <c r="G14" s="20">
        <f>SUMIFS('INPUT Penjualan'!N4:N1000, 'INPUT Penjualan'!H4:H1000, G3, 'INPUT Penjualan'!F4:F1000, "&gt;="&amp;Dashboard!$G$5, 'INPUT Penjualan'!F4:F1000, "&lt;="&amp;Dashboard!$H$5)
</f>
        <v>0</v>
      </c>
      <c r="H14" s="20">
        <f t="shared" ref="H14:H15" si="2">SUM(B14:G14)</f>
        <v>0</v>
      </c>
    </row>
    <row r="15">
      <c r="A15" s="9" t="s">
        <v>289</v>
      </c>
      <c r="B15" s="20">
        <f>SUMIFS('INPUT Penjualan'!J4:J1000, 'INPUT Penjualan'!C4:C1000, B3, 'INPUT Penjualan'!A4:A1000, "&gt;="&amp;Dashboard!$G$5, 'INPUT Penjualan'!A4:A1000, "&lt;="&amp;Dashboard!$H$5)
</f>
        <v>10000</v>
      </c>
      <c r="C15" s="20">
        <f>SUMIFS('INPUT Penjualan'!K4:K1000, 'INPUT Penjualan'!D4:D1000, C3, 'INPUT Penjualan'!B4:B1000, "&gt;="&amp;Dashboard!$G$5, 'INPUT Penjualan'!B4:B1000, "&lt;="&amp;Dashboard!$H$5)
</f>
        <v>0</v>
      </c>
      <c r="D15" s="20">
        <f>SUMIFS('INPUT Penjualan'!L4:L1000, 'INPUT Penjualan'!E4:E1000, D3, 'INPUT Penjualan'!C4:C1000, "&gt;="&amp;Dashboard!$G$5, 'INPUT Penjualan'!C4:C1000, "&lt;="&amp;Dashboard!$H$5)
</f>
        <v>0</v>
      </c>
      <c r="E15" s="20">
        <f>SUMIFS('INPUT Penjualan'!M4:M1000, 'INPUT Penjualan'!F4:F1000, E3, 'INPUT Penjualan'!D4:D1000, "&gt;="&amp;Dashboard!$G$5, 'INPUT Penjualan'!D4:D1000, "&lt;="&amp;Dashboard!$H$5)
</f>
        <v>0</v>
      </c>
      <c r="F15" s="20">
        <f>SUMIFS('INPUT Penjualan'!N4:N1000, 'INPUT Penjualan'!G4:G1000, F3, 'INPUT Penjualan'!E4:E1000, "&gt;="&amp;Dashboard!$G$5, 'INPUT Penjualan'!E4:E1000, "&lt;="&amp;Dashboard!$H$5)
</f>
        <v>0</v>
      </c>
      <c r="G15" s="20">
        <f>SUMIFS('INPUT Penjualan'!O4:O1000, 'INPUT Penjualan'!H4:H1000, G3, 'INPUT Penjualan'!F4:F1000, "&gt;="&amp;Dashboard!$G$5, 'INPUT Penjualan'!F4:F1000, "&lt;="&amp;Dashboard!$H$5)
</f>
        <v>0</v>
      </c>
      <c r="H15" s="20">
        <f t="shared" si="2"/>
        <v>10000</v>
      </c>
    </row>
    <row r="16">
      <c r="A16" s="39" t="s">
        <v>290</v>
      </c>
      <c r="B16" s="67"/>
      <c r="C16" s="67"/>
      <c r="D16" s="67"/>
      <c r="E16" s="67"/>
      <c r="F16" s="67"/>
      <c r="G16" s="67"/>
      <c r="H16" s="40">
        <f>H12-H14-H15</f>
        <v>33990000</v>
      </c>
    </row>
    <row r="18">
      <c r="A18" s="68" t="s">
        <v>291</v>
      </c>
    </row>
    <row r="19">
      <c r="A19" s="9" t="s">
        <v>292</v>
      </c>
      <c r="H19" s="20">
        <f>SUMIFS('INPUT Pembelian &amp; Produksi'!I4:I1000, 'INPUT Pembelian &amp; Produksi'!C4:C1000, "Barang Jadi (Supplier)", 'INPUT Pembelian &amp; Produksi'!A4:A1000, "&gt;="&amp;Dashboard!$G$5, 'INPUT Pembelian &amp; Produksi'!A4:A1000, "&lt;="&amp;Dashboard!$H$5)
</f>
        <v>0</v>
      </c>
    </row>
    <row r="20">
      <c r="A20" s="9" t="s">
        <v>293</v>
      </c>
      <c r="H20" s="20">
        <f>SUMIFS('INPUT Pembelian &amp; Produksi'!I4:I1000, 'INPUT Pembelian &amp; Produksi'!C4:C1000, "Bahan Baku", 'INPUT Pembelian &amp; Produksi'!A4:A1000, "&gt;="&amp;Dashboard!$G$5, 'INPUT Pembelian &amp; Produksi'!A4:A1000, "&lt;="&amp;Dashboard!$H$5)
</f>
        <v>10000000</v>
      </c>
    </row>
    <row r="21">
      <c r="A21" s="9" t="s">
        <v>294</v>
      </c>
      <c r="H21" s="20">
        <f>SUMIFS('INPUT Pembelian &amp; Produksi'!I4:I1000, 'INPUT Pembelian &amp; Produksi'!C4:C1000, "Ongkos Jahit", 'INPUT Pembelian &amp; Produksi'!A4:A1000, "&gt;="&amp;Dashboard!$G$5, 'INPUT Pembelian &amp; Produksi'!A4:A1000, "&lt;="&amp;Dashboard!$H$5)</f>
        <v>5000000</v>
      </c>
    </row>
    <row r="22">
      <c r="A22" s="9" t="s">
        <v>295</v>
      </c>
      <c r="H22" s="20">
        <f>SUMIFS('INPUT Pembelian &amp; Produksi'!I4:I1000, 'INPUT Pembelian &amp; Produksi'!C4:C1000, "Aksesoris", 'INPUT Pembelian &amp; Produksi'!A4:A1000, "&gt;="&amp;Dashboard!$G$5, 'INPUT Pembelian &amp; Produksi'!A4:A1000, "&lt;="&amp;Dashboard!$H$5)
</f>
        <v>1000000</v>
      </c>
    </row>
    <row r="23">
      <c r="A23" s="63" t="s">
        <v>296</v>
      </c>
      <c r="B23" s="64"/>
      <c r="C23" s="64"/>
      <c r="D23" s="64"/>
      <c r="E23" s="64"/>
      <c r="F23" s="64"/>
      <c r="G23" s="64"/>
      <c r="H23" s="65">
        <f>SUM(H19:H22)</f>
        <v>16000000</v>
      </c>
    </row>
    <row r="24">
      <c r="A24" s="69" t="s">
        <v>297</v>
      </c>
      <c r="B24" s="70"/>
      <c r="C24" s="70"/>
      <c r="D24" s="70"/>
      <c r="E24" s="70"/>
      <c r="F24" s="70"/>
      <c r="G24" s="70"/>
      <c r="H24" s="71">
        <f>H16-H23</f>
        <v>17990000</v>
      </c>
    </row>
    <row r="26">
      <c r="A26" s="72" t="s">
        <v>298</v>
      </c>
    </row>
    <row r="27">
      <c r="A27" s="9" t="s">
        <v>299</v>
      </c>
      <c r="H27" s="20">
        <f>SUMIFS('INPUT Beban &amp; Kas Keluar'!F4:F997, 'INPUT Beban &amp; Kas Keluar'!C4:C997, "6-101", 'INPUT Beban &amp; Kas Keluar'!A4:A997, "&gt;="&amp;Dashboard!$G$5, 'INPUT Beban &amp; Kas Keluar'!A4:A997, "&lt;="&amp;Dashboard!$H$5) + SUMIFS('INPUT Jurnal Penyesuaian'!H4:H499, 'INPUT Jurnal Penyesuaian'!D4:D499, "6-101", 'INPUT Jurnal Penyesuaian'!A4:A499, "&gt;="&amp;Dashboard!$G$5, 'INPUT Jurnal Penyesuaian'!A4:A499, "&lt;="&amp;Dashboard!$H$5)
</f>
        <v>5000000</v>
      </c>
    </row>
    <row r="28">
      <c r="A28" s="9" t="s">
        <v>300</v>
      </c>
      <c r="H28" s="20">
        <f>SUMIFS('INPUT Beban &amp; Kas Keluar'!F4:F997, 'INPUT Beban &amp; Kas Keluar'!C4:C997, "6-102", 'INPUT Beban &amp; Kas Keluar'!A4:A997, "&gt;="&amp;Dashboard!$G$5, 'INPUT Beban &amp; Kas Keluar'!A4:A997, "&lt;="&amp;Dashboard!$H$5) + SUMIFS('INPUT Jurnal Penyesuaian'!H4:H499, 'INPUT Jurnal Penyesuaian'!D4:D499, "6-102", 'INPUT Jurnal Penyesuaian'!A4:A499, "&gt;="&amp;Dashboard!$G$5, 'INPUT Jurnal Penyesuaian'!A4:A499, "&lt;="&amp;Dashboard!$H$5)
</f>
        <v>2000000</v>
      </c>
    </row>
    <row r="29">
      <c r="A29" s="9" t="s">
        <v>301</v>
      </c>
      <c r="H29" s="20">
        <f>SUMIFS('INPUT Beban &amp; Kas Keluar'!F4:F997, 'INPUT Beban &amp; Kas Keluar'!C4:C997, "6-103", 'INPUT Beban &amp; Kas Keluar'!A4:A997, "&gt;="&amp;Dashboard!$G$5, 'INPUT Beban &amp; Kas Keluar'!A4:A997, "&lt;="&amp;Dashboard!$H$5) + SUMIFS('INPUT Jurnal Penyesuaian'!H4:H499, 'INPUT Jurnal Penyesuaian'!D4:D499, "6-103", 'INPUT Jurnal Penyesuaian'!A4:A499, "&gt;="&amp;Dashboard!$G$5, 'INPUT Jurnal Penyesuaian'!A4:A499, "&lt;="&amp;Dashboard!$H$5)
</f>
        <v>500000</v>
      </c>
    </row>
    <row r="30">
      <c r="A30" s="9" t="s">
        <v>302</v>
      </c>
      <c r="H30" s="20">
        <f>SUMIFS('INPUT Beban &amp; Kas Keluar'!F4:F997, 'INPUT Beban &amp; Kas Keluar'!C4:C997, "6-104", 'INPUT Beban &amp; Kas Keluar'!A4:A997, "&gt;="&amp;Dashboard!$G$5, 'INPUT Beban &amp; Kas Keluar'!A4:A997, "&lt;="&amp;Dashboard!$H$5) + SUMIFS('INPUT Jurnal Penyesuaian'!H4:H499, 'INPUT Jurnal Penyesuaian'!D4:D499, "6-104", 'INPUT Jurnal Penyesuaian'!A4:A499, "&gt;="&amp;Dashboard!$G$5, 'INPUT Jurnal Penyesuaian'!A4:A499, "&lt;="&amp;Dashboard!$H$5)
</f>
        <v>1000000</v>
      </c>
    </row>
    <row r="31">
      <c r="A31" s="9" t="s">
        <v>303</v>
      </c>
      <c r="H31" s="20">
        <f>SUMIFS('INPUT Beban &amp; Kas Keluar'!F4:F997, 'INPUT Beban &amp; Kas Keluar'!C4:C997, "6-105", 'INPUT Beban &amp; Kas Keluar'!A4:A997, "&gt;="&amp;Dashboard!$G$5, 'INPUT Beban &amp; Kas Keluar'!A4:A997, "&lt;="&amp;Dashboard!$H$5) + SUMIFS('INPUT Jurnal Penyesuaian'!H4:H499, 'INPUT Jurnal Penyesuaian'!D4:D499, "6-105", 'INPUT Jurnal Penyesuaian'!A4:A499, "&gt;="&amp;Dashboard!$G$5, 'INPUT Jurnal Penyesuaian'!A4:A499, "&lt;="&amp;Dashboard!$H$5)
</f>
        <v>100000</v>
      </c>
    </row>
    <row r="32">
      <c r="A32" s="9" t="s">
        <v>304</v>
      </c>
      <c r="H32" s="20">
        <f>SUMIFS('INPUT Beban &amp; Kas Keluar'!F4:F997, 'INPUT Beban &amp; Kas Keluar'!C4:C997, "6-106", 'INPUT Beban &amp; Kas Keluar'!A4:A997, "&gt;="&amp;Dashboard!$G$5, 'INPUT Beban &amp; Kas Keluar'!A4:A997, "&lt;="&amp;Dashboard!$H$5) + SUMIFS('INPUT Jurnal Penyesuaian'!H4:H499, 'INPUT Jurnal Penyesuaian'!D4:D499, "6-106", 'INPUT Jurnal Penyesuaian'!A4:A499, "&gt;="&amp;Dashboard!$G$5, 'INPUT Jurnal Penyesuaian'!A4:A499, "&lt;="&amp;Dashboard!$H$5)
</f>
        <v>200000</v>
      </c>
    </row>
    <row r="33">
      <c r="A33" s="9" t="s">
        <v>305</v>
      </c>
      <c r="H33" s="20">
        <f>SUMIFS('INPUT Beban &amp; Kas Keluar'!F4:F997, 'INPUT Beban &amp; Kas Keluar'!C4:C997, "6-107", 'INPUT Beban &amp; Kas Keluar'!A4:A997, "&gt;="&amp;Dashboard!$G$5, 'INPUT Beban &amp; Kas Keluar'!A4:A997, "&lt;="&amp;Dashboard!$H$5) + SUMIFS('INPUT Jurnal Penyesuaian'!H4:H499, 'INPUT Jurnal Penyesuaian'!D4:D499, "6-107", 'INPUT Jurnal Penyesuaian'!A4:A499, "&gt;="&amp;Dashboard!$G$5, 'INPUT Jurnal Penyesuaian'!A4:A499, "&lt;="&amp;Dashboard!$H$5)
</f>
        <v>50000</v>
      </c>
    </row>
    <row r="34">
      <c r="A34" s="9" t="s">
        <v>306</v>
      </c>
      <c r="H34" s="20">
        <f>SUMIFS('INPUT Beban &amp; Kas Keluar'!F4:F997, 'INPUT Beban &amp; Kas Keluar'!C4:C997, "6-108", 'INPUT Beban &amp; Kas Keluar'!A4:A997, "&gt;="&amp;Dashboard!$G$5, 'INPUT Beban &amp; Kas Keluar'!A4:A997, "&lt;="&amp;Dashboard!$H$5) + SUMIFS('INPUT Jurnal Penyesuaian'!H4:H499, 'INPUT Jurnal Penyesuaian'!D4:D499, "6-108", 'INPUT Jurnal Penyesuaian'!A4:A499, "&gt;="&amp;Dashboard!$G$5, 'INPUT Jurnal Penyesuaian'!A4:A499, "&lt;="&amp;Dashboard!$H$5)
</f>
        <v>0</v>
      </c>
    </row>
    <row r="35">
      <c r="A35" s="9" t="s">
        <v>307</v>
      </c>
      <c r="H35" s="20">
        <f>SUMIFS('INPUT Beban &amp; Kas Keluar'!F4:F997, 'INPUT Beban &amp; Kas Keluar'!C4:C997, "6-109", 'INPUT Beban &amp; Kas Keluar'!A4:A997, "&gt;="&amp;Dashboard!$G$5, 'INPUT Beban &amp; Kas Keluar'!A4:A997, "&lt;="&amp;Dashboard!$H$5) + SUMIFS('INPUT Jurnal Penyesuaian'!H4:H499, 'INPUT Jurnal Penyesuaian'!D4:D499, "6-109", 'INPUT Jurnal Penyesuaian'!A4:A499, "&gt;="&amp;Dashboard!$G$5, 'INPUT Jurnal Penyesuaian'!A4:A499, "&lt;="&amp;Dashboard!$H$5)
</f>
        <v>0</v>
      </c>
    </row>
    <row r="36">
      <c r="A36" s="9" t="s">
        <v>308</v>
      </c>
      <c r="H36" s="20">
        <f>SUMIFS('INPUT Beban &amp; Kas Keluar'!F4:F997, 'INPUT Beban &amp; Kas Keluar'!C4:C997, "6-110", 'INPUT Beban &amp; Kas Keluar'!A4:A997, "&gt;="&amp;Dashboard!$G$5, 'INPUT Beban &amp; Kas Keluar'!A4:A997, "&lt;="&amp;Dashboard!$H$5) + SUMIFS('INPUT Jurnal Penyesuaian'!H4:H499, 'INPUT Jurnal Penyesuaian'!D4:D499, "6-110", 'INPUT Jurnal Penyesuaian'!A4:A499, "&gt;="&amp;Dashboard!$G$5, 'INPUT Jurnal Penyesuaian'!A4:A499, "&lt;="&amp;Dashboard!$H$5)</f>
        <v>500000</v>
      </c>
    </row>
    <row r="37">
      <c r="A37" s="63" t="s">
        <v>37</v>
      </c>
      <c r="B37" s="64"/>
      <c r="C37" s="64"/>
      <c r="D37" s="64"/>
      <c r="E37" s="64"/>
      <c r="F37" s="64"/>
      <c r="G37" s="64"/>
      <c r="H37" s="65">
        <f>SUM(H27:H36)</f>
        <v>9350000</v>
      </c>
    </row>
    <row r="39">
      <c r="A39" s="63" t="s">
        <v>309</v>
      </c>
      <c r="B39" s="73"/>
      <c r="C39" s="73"/>
      <c r="D39" s="73"/>
      <c r="E39" s="73"/>
      <c r="F39" s="73"/>
      <c r="G39" s="73"/>
      <c r="H39" s="65">
        <f>H24-H37</f>
        <v>8640000</v>
      </c>
    </row>
    <row r="40">
      <c r="A40" s="9" t="s">
        <v>310</v>
      </c>
      <c r="H40" s="20">
        <f>'Kalkulator Pajak'!D16</f>
        <v>0</v>
      </c>
    </row>
    <row r="41">
      <c r="A41" s="74" t="s">
        <v>311</v>
      </c>
      <c r="B41" s="75"/>
      <c r="C41" s="75"/>
      <c r="D41" s="75"/>
      <c r="E41" s="75"/>
      <c r="F41" s="75"/>
      <c r="G41" s="75"/>
      <c r="H41" s="76">
        <f>H39-H40</f>
        <v>8640000</v>
      </c>
    </row>
  </sheetData>
  <mergeCells count="6">
    <mergeCell ref="A1:H1"/>
    <mergeCell ref="A2:H2"/>
    <mergeCell ref="A4:H4"/>
    <mergeCell ref="A13:H13"/>
    <mergeCell ref="A18:H18"/>
    <mergeCell ref="A26:H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.63"/>
    <col customWidth="1" min="3" max="3" width="18.88"/>
    <col customWidth="1" min="4" max="4" width="3.88"/>
    <col customWidth="1" min="5" max="5" width="30.13"/>
    <col customWidth="1" min="6" max="6" width="18.88"/>
  </cols>
  <sheetData>
    <row r="1" ht="30.0" customHeight="1">
      <c r="A1" s="1" t="s">
        <v>313</v>
      </c>
    </row>
    <row r="2">
      <c r="A2" s="61" t="str">
        <f>"RAABIHA CLOTHING &amp; KONVEKSI — Per " &amp; TEXT(Dashboard!H5, "dd MMMM yyyy")
</f>
        <v>RAABIHA CLOTHING &amp; KONVEKSI — Per 31 Agustus 2026</v>
      </c>
    </row>
    <row r="3" ht="24.0" customHeight="1">
      <c r="A3" s="4" t="s">
        <v>314</v>
      </c>
      <c r="B3" s="78"/>
      <c r="C3" s="4" t="s">
        <v>315</v>
      </c>
      <c r="D3" s="78"/>
      <c r="E3" s="4" t="s">
        <v>316</v>
      </c>
      <c r="F3" s="4" t="s">
        <v>315</v>
      </c>
    </row>
    <row r="4">
      <c r="A4" s="2" t="s">
        <v>29</v>
      </c>
      <c r="E4" s="9" t="s">
        <v>192</v>
      </c>
    </row>
    <row r="5">
      <c r="A5" s="9" t="s">
        <v>317</v>
      </c>
      <c r="C5" s="20">
        <f>IFERROR(VLOOKUP("1-101", COA!A:H, 8, FALSE), 0)</f>
        <v>5000000</v>
      </c>
      <c r="E5" s="9" t="s">
        <v>318</v>
      </c>
      <c r="F5" s="20">
        <f>SUMIFS('INPUT Pembelian &amp; Produksi'!I4:I1000, 'INPUT Pembelian &amp; Produksi'!J4:J1000, "Hutang Dagang", 'INPUT Pembelian &amp; Produksi'!A4:A1000, "&lt;="&amp;Dashboard!$H$5)
</f>
        <v>0</v>
      </c>
    </row>
    <row r="6">
      <c r="A6" s="5" t="s">
        <v>319</v>
      </c>
      <c r="C6" s="20">
        <f>IFERROR(VLOOKUP("1-102", COA!A:H, 8, FALSE), 0)</f>
        <v>78840000</v>
      </c>
      <c r="E6" s="9" t="s">
        <v>320</v>
      </c>
      <c r="F6" s="20">
        <f>F5</f>
        <v>0</v>
      </c>
    </row>
    <row r="7">
      <c r="A7" s="9" t="s">
        <v>321</v>
      </c>
      <c r="C7" s="20">
        <f>IFERROR(VLOOKUP("1-103", COA!A:H, 8, FALSE), 0)</f>
        <v>0</v>
      </c>
    </row>
    <row r="8">
      <c r="A8" s="9" t="s">
        <v>322</v>
      </c>
      <c r="C8" s="20">
        <f>IFERROR(VLOOKUP("1-104", COA!A:H, 8, FALSE), 0)
</f>
        <v>2980000</v>
      </c>
      <c r="E8" s="2" t="s">
        <v>200</v>
      </c>
    </row>
    <row r="9">
      <c r="A9" s="9" t="s">
        <v>324</v>
      </c>
      <c r="C9" s="20">
        <f>IFERROR(VLOOKUP("1-201", COA!A:H, 8, FALSE), 0)</f>
        <v>3500000</v>
      </c>
      <c r="E9" s="9" t="s">
        <v>325</v>
      </c>
      <c r="F9" s="17">
        <f>SUMIF(COA!A4:A65, "1-10*", COA!G4:G65) + IFERROR(VLOOKUP("1-301", COA!A:G, 7, FALSE), 0) + IFERROR(VLOOKUP("1-401", COA!A:G, 7, FALSE), 0)</f>
        <v>120000000</v>
      </c>
    </row>
    <row r="10">
      <c r="A10" s="9" t="s">
        <v>328</v>
      </c>
      <c r="C10" s="20">
        <f>IFERROR(VLOOKUP("1-202", COA!A:H, 8, FALSE), 0)</f>
        <v>1800000</v>
      </c>
      <c r="E10" s="9" t="s">
        <v>329</v>
      </c>
      <c r="F10" s="20">
        <f>-SUMIFS('INPUT Beban &amp; Kas Keluar'!F4:F1000, 'INPUT Beban &amp; Kas Keluar'!C4:C1000, "3-102", 'INPUT Beban &amp; Kas Keluar'!A4:A1000, "&lt;="&amp;Dashboard!$H$5)</f>
        <v>-2000000</v>
      </c>
    </row>
    <row r="11">
      <c r="A11" s="9" t="s">
        <v>331</v>
      </c>
      <c r="C11" s="20">
        <f>IFERROR(VLOOKUP("1-203", COA!A:H, 8, FALSE), 0)</f>
        <v>3600000</v>
      </c>
      <c r="E11" s="9" t="s">
        <v>333</v>
      </c>
      <c r="F11" s="20">
        <f>VLOOKUP("LABA BERSIH (NET PROFIT)", 'Laba Rugi'!A:H, 8, FALSE)</f>
        <v>8640000</v>
      </c>
    </row>
    <row r="12">
      <c r="A12" s="9" t="s">
        <v>335</v>
      </c>
      <c r="C12" s="20">
        <f>IFERROR(VLOOKUP("1-204", COA!A:H, 8, FALSE), 0)</f>
        <v>6800000</v>
      </c>
      <c r="E12" s="9" t="s">
        <v>336</v>
      </c>
      <c r="F12" s="20">
        <f>SUM(F9:F11)</f>
        <v>126640000</v>
      </c>
    </row>
    <row r="13">
      <c r="A13" s="9" t="s">
        <v>339</v>
      </c>
      <c r="C13" s="20">
        <f>IFERROR(VLOOKUP("1-205", COA!A:H, 8, FALSE), 0)</f>
        <v>0</v>
      </c>
    </row>
    <row r="14">
      <c r="A14" s="9" t="s">
        <v>340</v>
      </c>
      <c r="C14" s="20">
        <f>IFERROR(VLOOKUP("1-301", COA!A:H, 8, FALSE), 0)</f>
        <v>20000000</v>
      </c>
      <c r="E14" s="2" t="s">
        <v>342</v>
      </c>
      <c r="F14" s="79">
        <f>F6+F12</f>
        <v>126640000</v>
      </c>
    </row>
    <row r="15">
      <c r="A15" s="9" t="s">
        <v>345</v>
      </c>
      <c r="C15" s="20">
        <f>IFERROR(VLOOKUP("1-303", COA!A:H, 8, FALSE), 0)</f>
        <v>0</v>
      </c>
      <c r="H15" s="20">
        <f>C20-F14</f>
        <v>-3320000</v>
      </c>
    </row>
    <row r="16">
      <c r="A16" s="63" t="s">
        <v>346</v>
      </c>
      <c r="B16" s="73"/>
      <c r="C16" s="65">
        <f>SUM(C5:C15)</f>
        <v>122520000</v>
      </c>
    </row>
    <row r="17">
      <c r="A17" s="2" t="s">
        <v>181</v>
      </c>
    </row>
    <row r="18">
      <c r="A18" s="9" t="s">
        <v>349</v>
      </c>
      <c r="C18" s="20">
        <f>IFERROR(VLOOKUP("1-401", COA!A:H, 8, FALSE), 0) - IFERROR(VLOOKUP("1-402", COA!A:H, 8, FALSE), 0)</f>
        <v>800000</v>
      </c>
    </row>
    <row r="19">
      <c r="A19" s="2" t="s">
        <v>351</v>
      </c>
      <c r="C19" s="65">
        <f>C18</f>
        <v>800000</v>
      </c>
    </row>
    <row r="20">
      <c r="A20" s="69" t="s">
        <v>353</v>
      </c>
      <c r="B20" s="70"/>
      <c r="C20" s="71">
        <f>C16+C19</f>
        <v>123320000</v>
      </c>
    </row>
  </sheetData>
  <mergeCells count="2">
    <mergeCell ref="A1:F1"/>
    <mergeCell ref="A2: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3" width="3.88"/>
    <col customWidth="1" min="4" max="4" width="18.88"/>
  </cols>
  <sheetData>
    <row r="1" ht="30.0" customHeight="1">
      <c r="A1" s="1" t="s">
        <v>323</v>
      </c>
    </row>
    <row r="2">
      <c r="A2" s="17" t="str">
        <f>"RAABIHA CLOTHING &amp; KONVEKSI — Periode: " &amp; TEXT(Dashboard!G5,"dd/mm/yyyy") &amp; " s/d " &amp; TEXT(Dashboard!H5,"dd/mm/yyyy")
</f>
        <v>RAABIHA CLOTHING &amp; KONVEKSI — Periode: 01/08/2026 s/d 31/08/2026</v>
      </c>
    </row>
    <row r="3">
      <c r="A3" s="29" t="s">
        <v>326</v>
      </c>
      <c r="B3" s="77"/>
      <c r="C3" s="77"/>
      <c r="D3" s="77"/>
    </row>
    <row r="4">
      <c r="A4" s="9" t="s">
        <v>327</v>
      </c>
      <c r="D4" s="20">
        <f>SUMIFS('INPUT Penjualan'!K4:K1000, 'INPUT Penjualan'!A4:A1000, "&gt;="&amp;Dashboard!$G$5, 'INPUT Penjualan'!A4:A1000, "&lt;="&amp;Dashboard!$H$5)
</f>
        <v>30670000</v>
      </c>
    </row>
    <row r="5">
      <c r="A5" s="9" t="s">
        <v>330</v>
      </c>
      <c r="D5" s="20">
        <f>-SUMIFS('INPUT Beban &amp; Kas Keluar'!F4:F997, 'INPUT Beban &amp; Kas Keluar'!A4:A997, "&gt;="&amp;Dashboard!$G$5, 'INPUT Beban &amp; Kas Keluar'!A4:A997, "&lt;="&amp;Dashboard!$H$5)
</f>
        <v>-11150000</v>
      </c>
    </row>
    <row r="6">
      <c r="A6" s="9" t="s">
        <v>332</v>
      </c>
      <c r="D6" s="20">
        <f>-SUMIFS('INPUT Pembelian &amp; Produksi'!I4:I1000, 'INPUT Pembelian &amp; Produksi'!J4:J1000, "Tunai", 'INPUT Pembelian &amp; Produksi'!A4:A1000, "&gt;="&amp;Dashboard!$G$5, 'INPUT Pembelian &amp; Produksi'!A4:A1000, "&lt;="&amp;Dashboard!$H$5)
</f>
        <v>-17000000</v>
      </c>
    </row>
    <row r="7">
      <c r="A7" s="63" t="s">
        <v>334</v>
      </c>
      <c r="B7" s="73"/>
      <c r="C7" s="73"/>
      <c r="D7" s="65">
        <f>SUM(D4:D6)</f>
        <v>2520000</v>
      </c>
    </row>
    <row r="9">
      <c r="A9" s="29" t="s">
        <v>337</v>
      </c>
      <c r="B9" s="77"/>
      <c r="C9" s="77"/>
      <c r="D9" s="77"/>
    </row>
    <row r="10">
      <c r="A10" s="9" t="s">
        <v>338</v>
      </c>
      <c r="D10" s="20">
        <f>-SUMIFS('INPUT Pembelian &amp; Produksi'!I4:I1000, 'INPUT Pembelian &amp; Produksi'!K4:K1000, "1-401", 'INPUT Pembelian &amp; Produksi'!A4:A1000, "&gt;="&amp;Dashboard!$G$5, 'INPUT Pembelian &amp; Produksi'!A4:A1000, "&lt;="&amp;Dashboard!$H$5)
</f>
        <v>-1000000</v>
      </c>
    </row>
    <row r="11">
      <c r="A11" s="63" t="s">
        <v>341</v>
      </c>
      <c r="B11" s="73"/>
      <c r="C11" s="73"/>
      <c r="D11" s="65">
        <f>D10</f>
        <v>-1000000</v>
      </c>
    </row>
    <row r="13">
      <c r="A13" s="29" t="s">
        <v>343</v>
      </c>
      <c r="B13" s="77"/>
      <c r="C13" s="77"/>
      <c r="D13" s="77"/>
    </row>
    <row r="14">
      <c r="A14" s="9" t="s">
        <v>344</v>
      </c>
      <c r="D14" s="20">
        <f>SUMIFS('INPUT Jurnal Penyesuaian'!H4:H499, 'INPUT Jurnal Penyesuaian'!D4:D499, "3-101", 'INPUT Jurnal Penyesuaian'!A4:A499, "&gt;="&amp;Dashboard!$G$5, 'INPUT Jurnal Penyesuaian'!A4:A499, "&lt;="&amp;Dashboard!$H$5)
</f>
        <v>0</v>
      </c>
    </row>
    <row r="15">
      <c r="A15" s="9" t="s">
        <v>329</v>
      </c>
      <c r="D15" s="20">
        <f>-SUMIFS('INPUT Beban &amp; Kas Keluar'!F4:F997, 'INPUT Beban &amp; Kas Keluar'!C4:C997, "3-102", 'INPUT Beban &amp; Kas Keluar'!A4:A997, "&gt;="&amp;Dashboard!$G$5, 'INPUT Beban &amp; Kas Keluar'!A4:A997, "&lt;="&amp;Dashboard!$H$5)
</f>
        <v>-2000000</v>
      </c>
    </row>
    <row r="16">
      <c r="A16" s="63" t="s">
        <v>347</v>
      </c>
      <c r="B16" s="73"/>
      <c r="C16" s="73"/>
      <c r="D16" s="65">
        <f>SUM(D14:D15)</f>
        <v>-2000000</v>
      </c>
    </row>
    <row r="18">
      <c r="A18" s="69" t="s">
        <v>348</v>
      </c>
      <c r="B18" s="70"/>
      <c r="C18" s="70"/>
      <c r="D18" s="71">
        <f>D7+D11+D16</f>
        <v>-480000</v>
      </c>
    </row>
    <row r="19">
      <c r="A19" s="9" t="s">
        <v>350</v>
      </c>
      <c r="D19" s="22">
        <f>SUMIF(COA!A4:A60, "1-10*", COA!G4:G60)
</f>
        <v>100000000</v>
      </c>
    </row>
    <row r="20">
      <c r="A20" s="69" t="s">
        <v>352</v>
      </c>
      <c r="B20" s="70"/>
      <c r="C20" s="70"/>
      <c r="D20" s="71">
        <f>D18+D19</f>
        <v>99520000</v>
      </c>
    </row>
  </sheetData>
  <mergeCells count="1">
    <mergeCell ref="A1:D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3.88"/>
    <col customWidth="1" min="3" max="3" width="20.13"/>
  </cols>
  <sheetData>
    <row r="1" ht="30.0" customHeight="1">
      <c r="A1" s="1" t="s">
        <v>354</v>
      </c>
    </row>
    <row r="3">
      <c r="A3" s="9" t="s">
        <v>355</v>
      </c>
      <c r="C3" s="19">
        <f>SUMIFS('INPUT Jurnal Penyesuaian'!H4:H499, 'INPUT Jurnal Penyesuaian'!D4:D499, "3-101", 'INPUT Jurnal Penyesuaian'!A4:A499, "&lt;"&amp;Dashboard!$G$5)</f>
        <v>0</v>
      </c>
    </row>
    <row r="4">
      <c r="A4" s="9" t="s">
        <v>356</v>
      </c>
      <c r="C4" s="19">
        <f>SUMIFS('INPUT Jurnal Penyesuaian'!H4:H499, 'INPUT Jurnal Penyesuaian'!D4:D499, "3-101", 'INPUT Jurnal Penyesuaian'!A4:A499, "&gt;="&amp;Dashboard!$G$5, 'INPUT Jurnal Penyesuaian'!A4:A499, "&lt;="&amp;Dashboard!$H$5)</f>
        <v>0</v>
      </c>
    </row>
    <row r="5">
      <c r="A5" s="9" t="s">
        <v>357</v>
      </c>
      <c r="C5" s="20">
        <f>VLOOKUP("LABA BERSIH (NET PROFIT)", 'Laba Rugi'!A:H, 8, FALSE)
</f>
        <v>8640000</v>
      </c>
    </row>
    <row r="6">
      <c r="A6" s="9" t="s">
        <v>363</v>
      </c>
      <c r="C6" s="19">
        <f>SUMIFS('INPUT Beban &amp; Kas Keluar'!F4:F997, 'INPUT Beban &amp; Kas Keluar'!C4:C997, "3-102", 'INPUT Beban &amp; Kas Keluar'!A4:A997, "&gt;="&amp;Dashboard!$G$5, 'INPUT Beban &amp; Kas Keluar'!A4:A997, "&lt;="&amp;Dashboard!$H$5)
</f>
        <v>2000000</v>
      </c>
    </row>
    <row r="7">
      <c r="A7" s="69" t="s">
        <v>367</v>
      </c>
      <c r="B7" s="70"/>
      <c r="C7" s="71">
        <f>C3+C4+C5-C6</f>
        <v>6640000</v>
      </c>
    </row>
  </sheetData>
  <mergeCells count="1">
    <mergeCell ref="A1: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13"/>
  </cols>
  <sheetData>
    <row r="1" ht="30.0" customHeight="1">
      <c r="A1" s="1" t="s">
        <v>358</v>
      </c>
    </row>
    <row r="2" ht="26.25" customHeight="1">
      <c r="A2" s="3" t="s">
        <v>359</v>
      </c>
    </row>
    <row r="3" ht="24.0" customHeight="1">
      <c r="A3" s="30" t="s">
        <v>360</v>
      </c>
      <c r="B3" s="30" t="s">
        <v>361</v>
      </c>
      <c r="C3" s="30" t="s">
        <v>362</v>
      </c>
      <c r="D3" s="30" t="s">
        <v>364</v>
      </c>
      <c r="E3" s="30" t="s">
        <v>365</v>
      </c>
    </row>
    <row r="4">
      <c r="A4" s="32" t="s">
        <v>366</v>
      </c>
      <c r="B4" s="33">
        <f>SUMIFS('INPUT Penjualan'!K4:K1000, 'INPUT Penjualan'!A4:A1000, "&gt;="&amp;DATE(YEAR(Dashboard!$H$5), 1, 1), 'INPUT Penjualan'!A4:A1000, "&lt;="&amp;EOMONTH(DATE(YEAR(Dashboard!$H$5), 1, 1), 0))</f>
        <v>0</v>
      </c>
      <c r="C4" s="33">
        <f t="shared" ref="C4:C15" si="1">SUM(B$4:B4)</f>
        <v>0</v>
      </c>
      <c r="D4" s="33">
        <f t="shared" ref="D4:D15" si="2">IF(C4&lt;=500000000, 0, B4*0.005)
</f>
        <v>0</v>
      </c>
      <c r="E4" s="80" t="str">
        <f t="shared" ref="E4:E15" si="3">IF(C4&lt;=500000000, "Bebas pajak (&lt; Rp 500 Jt)", "Wajib setor PPh Final 0,5%")
</f>
        <v>Bebas pajak (&lt; Rp 500 Jt)</v>
      </c>
    </row>
    <row r="5">
      <c r="A5" s="35" t="s">
        <v>368</v>
      </c>
      <c r="B5" s="51">
        <f>SUMIFS('INPUT Penjualan'!K4:K1000, 'INPUT Penjualan'!A4:A1000, "&gt;="&amp;DATE(YEAR(Dashboard!$H$5), 2, 1), 'INPUT Penjualan'!A4:A1000, "&lt;="&amp;EOMONTH(DATE(YEAR(Dashboard!$H$5), 2, 1), 0))</f>
        <v>0</v>
      </c>
      <c r="C5" s="33">
        <f t="shared" si="1"/>
        <v>0</v>
      </c>
      <c r="D5" s="33">
        <f t="shared" si="2"/>
        <v>0</v>
      </c>
      <c r="E5" s="80" t="str">
        <f t="shared" si="3"/>
        <v>Bebas pajak (&lt; Rp 500 Jt)</v>
      </c>
    </row>
    <row r="6">
      <c r="A6" s="32" t="s">
        <v>369</v>
      </c>
      <c r="B6" s="33">
        <f>SUMIFS('INPUT Penjualan'!K4:K1000, 'INPUT Penjualan'!A4:A1000, "&gt;="&amp;DATE(YEAR(Dashboard!$H$5), 3, 1), 'INPUT Penjualan'!A4:A1000, "&lt;="&amp;EOMONTH(DATE(YEAR(Dashboard!$H$5), 3, 1), 0))</f>
        <v>0</v>
      </c>
      <c r="C6" s="33">
        <f t="shared" si="1"/>
        <v>0</v>
      </c>
      <c r="D6" s="33">
        <f t="shared" si="2"/>
        <v>0</v>
      </c>
      <c r="E6" s="80" t="str">
        <f t="shared" si="3"/>
        <v>Bebas pajak (&lt; Rp 500 Jt)</v>
      </c>
    </row>
    <row r="7">
      <c r="A7" s="35" t="s">
        <v>370</v>
      </c>
      <c r="B7" s="51">
        <f>SUMIFS('INPUT Penjualan'!K4:K1000, 'INPUT Penjualan'!A4:A1000, "&gt;="&amp;DATE(YEAR(Dashboard!$H$5), 4, 1), 'INPUT Penjualan'!A4:A1000, "&lt;="&amp;EOMONTH(DATE(YEAR(Dashboard!$H$5), 4, 1), 0))</f>
        <v>0</v>
      </c>
      <c r="C7" s="33">
        <f t="shared" si="1"/>
        <v>0</v>
      </c>
      <c r="D7" s="33">
        <f t="shared" si="2"/>
        <v>0</v>
      </c>
      <c r="E7" s="80" t="str">
        <f t="shared" si="3"/>
        <v>Bebas pajak (&lt; Rp 500 Jt)</v>
      </c>
    </row>
    <row r="8">
      <c r="A8" s="32" t="s">
        <v>371</v>
      </c>
      <c r="B8" s="33">
        <f>SUMIFS('INPUT Penjualan'!K4:K1000, 'INPUT Penjualan'!A4:A1000, "&gt;="&amp;DATE(YEAR(Dashboard!$H$5), 5, 1), 'INPUT Penjualan'!A4:A1000, "&lt;="&amp;EOMONTH(DATE(YEAR(Dashboard!$H$5), 5, 1), 0))</f>
        <v>0</v>
      </c>
      <c r="C8" s="33">
        <f t="shared" si="1"/>
        <v>0</v>
      </c>
      <c r="D8" s="33">
        <f t="shared" si="2"/>
        <v>0</v>
      </c>
      <c r="E8" s="80" t="str">
        <f t="shared" si="3"/>
        <v>Bebas pajak (&lt; Rp 500 Jt)</v>
      </c>
    </row>
    <row r="9">
      <c r="A9" s="35" t="s">
        <v>372</v>
      </c>
      <c r="B9" s="51">
        <f>SUMIFS('INPUT Penjualan'!K4:K1000, 'INPUT Penjualan'!A4:A1000, "&gt;="&amp;DATE(YEAR(Dashboard!$H$5), 6, 1), 'INPUT Penjualan'!A4:A1000, "&lt;="&amp;EOMONTH(DATE(YEAR(Dashboard!$H$5), 6, 1), 0))</f>
        <v>0</v>
      </c>
      <c r="C9" s="33">
        <f t="shared" si="1"/>
        <v>0</v>
      </c>
      <c r="D9" s="33">
        <f t="shared" si="2"/>
        <v>0</v>
      </c>
      <c r="E9" s="80" t="str">
        <f t="shared" si="3"/>
        <v>Bebas pajak (&lt; Rp 500 Jt)</v>
      </c>
    </row>
    <row r="10">
      <c r="A10" s="32" t="s">
        <v>373</v>
      </c>
      <c r="B10" s="33">
        <f>SUMIFS('INPUT Penjualan'!K4:K1000, 'INPUT Penjualan'!A4:A1000, "&gt;="&amp;DATE(YEAR(Dashboard!$H$5), 7, 1), 'INPUT Penjualan'!A4:A1000, "&lt;="&amp;EOMONTH(DATE(YEAR(Dashboard!$H$5), 7, 1), 0))</f>
        <v>0</v>
      </c>
      <c r="C10" s="33">
        <f t="shared" si="1"/>
        <v>0</v>
      </c>
      <c r="D10" s="33">
        <f t="shared" si="2"/>
        <v>0</v>
      </c>
      <c r="E10" s="80" t="str">
        <f t="shared" si="3"/>
        <v>Bebas pajak (&lt; Rp 500 Jt)</v>
      </c>
    </row>
    <row r="11">
      <c r="A11" s="35" t="s">
        <v>374</v>
      </c>
      <c r="B11" s="51">
        <f>SUMIFS('INPUT Penjualan'!K4:K1000, 'INPUT Penjualan'!A4:A1000, "&gt;="&amp;DATE(YEAR(Dashboard!$H$5), 8, 1), 'INPUT Penjualan'!A4:A1000, "&lt;="&amp;EOMONTH(DATE(YEAR(Dashboard!$H$5), 8, 1), 0))</f>
        <v>30670000</v>
      </c>
      <c r="C11" s="33">
        <f t="shared" si="1"/>
        <v>30670000</v>
      </c>
      <c r="D11" s="33">
        <f t="shared" si="2"/>
        <v>0</v>
      </c>
      <c r="E11" s="80" t="str">
        <f t="shared" si="3"/>
        <v>Bebas pajak (&lt; Rp 500 Jt)</v>
      </c>
    </row>
    <row r="12">
      <c r="A12" s="32" t="s">
        <v>375</v>
      </c>
      <c r="B12" s="33">
        <f>SUMIFS('INPUT Penjualan'!K4:K1000, 'INPUT Penjualan'!A4:A1000, "&gt;="&amp;DATE(YEAR(Dashboard!$H$5), 9, 1), 'INPUT Penjualan'!A4:A1000, "&lt;="&amp;EOMONTH(DATE(YEAR(Dashboard!$H$5), 9, 1), 0))</f>
        <v>0</v>
      </c>
      <c r="C12" s="33">
        <f t="shared" si="1"/>
        <v>30670000</v>
      </c>
      <c r="D12" s="33">
        <f t="shared" si="2"/>
        <v>0</v>
      </c>
      <c r="E12" s="80" t="str">
        <f t="shared" si="3"/>
        <v>Bebas pajak (&lt; Rp 500 Jt)</v>
      </c>
    </row>
    <row r="13">
      <c r="A13" s="35" t="s">
        <v>376</v>
      </c>
      <c r="B13" s="51">
        <f>SUMIFS('INPUT Penjualan'!K4:K1000, 'INPUT Penjualan'!A4:A1000, "&gt;="&amp;DATE(YEAR(Dashboard!$H$5), 10, 1), 'INPUT Penjualan'!A4:A1000, "&lt;="&amp;EOMONTH(DATE(YEAR(Dashboard!$H$5), 10, 1), 0))</f>
        <v>0</v>
      </c>
      <c r="C13" s="33">
        <f t="shared" si="1"/>
        <v>30670000</v>
      </c>
      <c r="D13" s="33">
        <f t="shared" si="2"/>
        <v>0</v>
      </c>
      <c r="E13" s="80" t="str">
        <f t="shared" si="3"/>
        <v>Bebas pajak (&lt; Rp 500 Jt)</v>
      </c>
    </row>
    <row r="14">
      <c r="A14" s="32" t="s">
        <v>377</v>
      </c>
      <c r="B14" s="33">
        <f>SUMIFS('INPUT Penjualan'!K4:K1000, 'INPUT Penjualan'!A4:A1000, "&gt;="&amp;DATE(YEAR(Dashboard!$H$5), 11, 1), 'INPUT Penjualan'!A4:A1000, "&lt;="&amp;EOMONTH(DATE(YEAR(Dashboard!$H$5), 11, 1), 0))</f>
        <v>0</v>
      </c>
      <c r="C14" s="33">
        <f t="shared" si="1"/>
        <v>30670000</v>
      </c>
      <c r="D14" s="33">
        <f t="shared" si="2"/>
        <v>0</v>
      </c>
      <c r="E14" s="80" t="str">
        <f t="shared" si="3"/>
        <v>Bebas pajak (&lt; Rp 500 Jt)</v>
      </c>
    </row>
    <row r="15">
      <c r="A15" s="35" t="s">
        <v>378</v>
      </c>
      <c r="B15" s="51">
        <f>SUMIFS('INPUT Penjualan'!K4:K1000, 'INPUT Penjualan'!A4:A1000, "&gt;="&amp;DATE(YEAR(Dashboard!$H$5), 12, 1), 'INPUT Penjualan'!A4:A1000, "&lt;="&amp;EOMONTH(DATE(YEAR(Dashboard!$H$5), 12, 1), 0))</f>
        <v>0</v>
      </c>
      <c r="C15" s="33">
        <f t="shared" si="1"/>
        <v>30670000</v>
      </c>
      <c r="D15" s="33">
        <f t="shared" si="2"/>
        <v>0</v>
      </c>
      <c r="E15" s="80" t="str">
        <f t="shared" si="3"/>
        <v>Bebas pajak (&lt; Rp 500 Jt)</v>
      </c>
    </row>
    <row r="16">
      <c r="A16" s="29" t="s">
        <v>379</v>
      </c>
      <c r="B16" s="81">
        <f>SUM(B4:B15)</f>
        <v>30670000</v>
      </c>
      <c r="C16" s="81">
        <f>B16</f>
        <v>30670000</v>
      </c>
      <c r="D16" s="81">
        <f>SUM(D4:D15)</f>
        <v>0</v>
      </c>
      <c r="E16" s="77" t="str">
        <f>IF(B16&lt;=500000000, "BEBAS PAJAK", "Wajib Setor PPh Final")
</f>
        <v>BEBAS PAJAK</v>
      </c>
    </row>
  </sheetData>
  <mergeCells count="2">
    <mergeCell ref="A1:E1"/>
    <mergeCell ref="A2:E2"/>
  </mergeCells>
  <drawing r:id="rId1"/>
</worksheet>
</file>